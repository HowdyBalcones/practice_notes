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ate1904="1"/>
  <mc:AlternateContent xmlns:mc="http://schemas.openxmlformats.org/markup-compatibility/2006">
    <mc:Choice Requires="x15">
      <x15ac:absPath xmlns:x15ac="http://schemas.microsoft.com/office/spreadsheetml/2010/11/ac" url="/Volumes/Company/CONTRACTS/Alamo Manhattan/Fairmount/Signage/"/>
    </mc:Choice>
  </mc:AlternateContent>
  <xr:revisionPtr revIDLastSave="0" documentId="13_ncr:1_{863156ED-ED37-F446-9C63-A5BAC7945ABE}" xr6:coauthVersionLast="47" xr6:coauthVersionMax="47" xr10:uidLastSave="{00000000-0000-0000-0000-000000000000}"/>
  <bookViews>
    <workbookView xWindow="24380" yWindow="500" windowWidth="26820" windowHeight="26520" tabRatio="50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68" i="1" l="1"/>
  <c r="I275" i="1"/>
  <c r="I289" i="1"/>
  <c r="I303" i="1"/>
  <c r="I321" i="1"/>
  <c r="I335" i="1"/>
  <c r="I349" i="1"/>
  <c r="I364" i="1"/>
  <c r="I385" i="1"/>
  <c r="I401" i="1"/>
  <c r="I415" i="1"/>
  <c r="I436" i="1"/>
  <c r="I450" i="1"/>
  <c r="I464" i="1"/>
  <c r="I480" i="1"/>
  <c r="I494" i="1"/>
  <c r="I508" i="1"/>
  <c r="I522" i="1"/>
  <c r="I541" i="1"/>
  <c r="I555" i="1"/>
  <c r="I569" i="1"/>
  <c r="I586" i="1"/>
  <c r="I609" i="1"/>
  <c r="I21" i="1" l="1"/>
  <c r="I287" i="1"/>
  <c r="I92" i="1"/>
  <c r="I91" i="1"/>
  <c r="I79" i="1"/>
  <c r="I42" i="1"/>
  <c r="I26" i="1"/>
  <c r="I24" i="1"/>
  <c r="I18" i="1"/>
  <c r="I15" i="1"/>
  <c r="F478" i="1"/>
  <c r="I620" i="1"/>
  <c r="I619" i="1"/>
  <c r="G637" i="1"/>
  <c r="F637" i="1"/>
  <c r="I605" i="1"/>
  <c r="I604" i="1"/>
  <c r="I603" i="1"/>
  <c r="I602" i="1"/>
  <c r="I601" i="1"/>
  <c r="I600" i="1"/>
  <c r="I599" i="1"/>
  <c r="I598" i="1"/>
  <c r="I618" i="1"/>
  <c r="I360" i="1"/>
  <c r="I594" i="1"/>
  <c r="I607" i="1"/>
  <c r="I606" i="1"/>
  <c r="I597" i="1"/>
  <c r="I596" i="1"/>
  <c r="I595" i="1"/>
  <c r="I593" i="1"/>
  <c r="I592" i="1"/>
  <c r="I591" i="1"/>
  <c r="I589" i="1"/>
  <c r="I612" i="1"/>
  <c r="I613" i="1"/>
  <c r="I614" i="1"/>
  <c r="I583" i="1"/>
  <c r="I582" i="1"/>
  <c r="I581" i="1"/>
  <c r="I580" i="1"/>
  <c r="I579" i="1"/>
  <c r="I578" i="1"/>
  <c r="I577" i="1"/>
  <c r="I576" i="1"/>
  <c r="I575" i="1"/>
  <c r="I574" i="1"/>
  <c r="I572" i="1"/>
  <c r="G584" i="1"/>
  <c r="F584" i="1"/>
  <c r="I567" i="1"/>
  <c r="I566" i="1"/>
  <c r="I565" i="1"/>
  <c r="I564" i="1"/>
  <c r="I563" i="1"/>
  <c r="I562" i="1"/>
  <c r="I561" i="1"/>
  <c r="I560" i="1"/>
  <c r="I559" i="1"/>
  <c r="I558" i="1"/>
  <c r="I553" i="1"/>
  <c r="I552" i="1"/>
  <c r="I551" i="1"/>
  <c r="I550" i="1"/>
  <c r="I549" i="1"/>
  <c r="I548" i="1"/>
  <c r="I547" i="1"/>
  <c r="I546" i="1"/>
  <c r="I545" i="1"/>
  <c r="I544" i="1"/>
  <c r="I539" i="1"/>
  <c r="I538" i="1"/>
  <c r="I537" i="1"/>
  <c r="I536" i="1"/>
  <c r="I530" i="1"/>
  <c r="I529" i="1"/>
  <c r="I528" i="1"/>
  <c r="I527" i="1"/>
  <c r="I526" i="1"/>
  <c r="I525" i="1"/>
  <c r="G531" i="1"/>
  <c r="F531" i="1"/>
  <c r="G478" i="1"/>
  <c r="I520" i="1"/>
  <c r="I519" i="1"/>
  <c r="I518" i="1"/>
  <c r="I517" i="1"/>
  <c r="I516" i="1"/>
  <c r="I515" i="1"/>
  <c r="I514" i="1"/>
  <c r="I513" i="1"/>
  <c r="I512" i="1"/>
  <c r="I511" i="1"/>
  <c r="I506" i="1"/>
  <c r="I505" i="1"/>
  <c r="I504" i="1"/>
  <c r="I503" i="1"/>
  <c r="I502" i="1"/>
  <c r="I501" i="1"/>
  <c r="I500" i="1"/>
  <c r="I499" i="1"/>
  <c r="I498" i="1"/>
  <c r="I497" i="1"/>
  <c r="I492" i="1"/>
  <c r="I491" i="1"/>
  <c r="I490" i="1"/>
  <c r="I489" i="1"/>
  <c r="I488" i="1"/>
  <c r="I487" i="1"/>
  <c r="I486" i="1"/>
  <c r="I485" i="1"/>
  <c r="I484" i="1"/>
  <c r="I483" i="1"/>
  <c r="I476" i="1"/>
  <c r="I475" i="1"/>
  <c r="I474" i="1"/>
  <c r="I473" i="1"/>
  <c r="I472" i="1"/>
  <c r="I471" i="1"/>
  <c r="I470" i="1"/>
  <c r="I469" i="1"/>
  <c r="I468" i="1"/>
  <c r="I467" i="1"/>
  <c r="I462" i="1"/>
  <c r="I461" i="1"/>
  <c r="I460" i="1"/>
  <c r="I459" i="1"/>
  <c r="I458" i="1"/>
  <c r="I457" i="1"/>
  <c r="I456" i="1"/>
  <c r="I455" i="1"/>
  <c r="I454" i="1"/>
  <c r="I453" i="1"/>
  <c r="I448" i="1"/>
  <c r="I447" i="1"/>
  <c r="I446" i="1"/>
  <c r="I445" i="1"/>
  <c r="I444" i="1"/>
  <c r="I443" i="1"/>
  <c r="I442" i="1"/>
  <c r="I441" i="1"/>
  <c r="I440" i="1"/>
  <c r="I439" i="1"/>
  <c r="I434" i="1"/>
  <c r="I433" i="1"/>
  <c r="I432" i="1"/>
  <c r="I431" i="1"/>
  <c r="I430" i="1"/>
  <c r="I422" i="1"/>
  <c r="I421" i="1"/>
  <c r="I420" i="1"/>
  <c r="I419" i="1"/>
  <c r="I418" i="1"/>
  <c r="G425" i="1"/>
  <c r="F425" i="1"/>
  <c r="I413" i="1"/>
  <c r="I412" i="1"/>
  <c r="I411" i="1"/>
  <c r="I410" i="1"/>
  <c r="I409" i="1"/>
  <c r="I408" i="1"/>
  <c r="I407" i="1"/>
  <c r="I406" i="1"/>
  <c r="I405" i="1"/>
  <c r="I404" i="1"/>
  <c r="I397" i="1"/>
  <c r="I396" i="1"/>
  <c r="I395" i="1"/>
  <c r="I394" i="1"/>
  <c r="I393" i="1"/>
  <c r="I392" i="1"/>
  <c r="I391" i="1"/>
  <c r="I390" i="1"/>
  <c r="I389" i="1"/>
  <c r="I388" i="1"/>
  <c r="I383" i="1"/>
  <c r="I382" i="1"/>
  <c r="I381" i="1"/>
  <c r="I380" i="1"/>
  <c r="I379" i="1"/>
  <c r="I378" i="1"/>
  <c r="I377" i="1"/>
  <c r="I369" i="1"/>
  <c r="I368" i="1"/>
  <c r="I367" i="1"/>
  <c r="G372" i="1"/>
  <c r="F372" i="1"/>
  <c r="G319" i="1"/>
  <c r="F319" i="1"/>
  <c r="I347" i="1"/>
  <c r="I346" i="1"/>
  <c r="I345" i="1"/>
  <c r="I344" i="1"/>
  <c r="I343" i="1"/>
  <c r="I342" i="1"/>
  <c r="I341" i="1"/>
  <c r="I340" i="1"/>
  <c r="I339" i="1"/>
  <c r="I338" i="1"/>
  <c r="I333" i="1"/>
  <c r="I332" i="1"/>
  <c r="I331" i="1"/>
  <c r="I330" i="1"/>
  <c r="I329" i="1"/>
  <c r="I328" i="1"/>
  <c r="I327" i="1"/>
  <c r="I326" i="1"/>
  <c r="I325" i="1"/>
  <c r="I324" i="1"/>
  <c r="I315" i="1"/>
  <c r="I314" i="1"/>
  <c r="I313" i="1"/>
  <c r="I312" i="1"/>
  <c r="I311" i="1"/>
  <c r="I310" i="1"/>
  <c r="I309" i="1"/>
  <c r="I308" i="1"/>
  <c r="I307" i="1"/>
  <c r="I306" i="1"/>
  <c r="I362" i="1"/>
  <c r="I361" i="1"/>
  <c r="I359" i="1"/>
  <c r="I358" i="1"/>
  <c r="I357" i="1"/>
  <c r="I356" i="1"/>
  <c r="I355" i="1"/>
  <c r="I354" i="1"/>
  <c r="I353" i="1"/>
  <c r="I352" i="1"/>
  <c r="I299" i="1"/>
  <c r="I301" i="1"/>
  <c r="I300" i="1"/>
  <c r="I298" i="1"/>
  <c r="I297" i="1"/>
  <c r="I296" i="1"/>
  <c r="I295" i="1"/>
  <c r="I294" i="1"/>
  <c r="I293" i="1"/>
  <c r="I292" i="1"/>
  <c r="I286" i="1"/>
  <c r="I285" i="1"/>
  <c r="I284" i="1"/>
  <c r="I283" i="1"/>
  <c r="I282" i="1"/>
  <c r="I281" i="1"/>
  <c r="I280" i="1"/>
  <c r="I279" i="1"/>
  <c r="I278" i="1"/>
  <c r="G266" i="1"/>
  <c r="F266" i="1"/>
  <c r="I273" i="1"/>
  <c r="I272" i="1"/>
  <c r="I271" i="1"/>
  <c r="I262" i="1"/>
  <c r="I261" i="1"/>
  <c r="I260" i="1"/>
  <c r="I255" i="1"/>
  <c r="I254" i="1"/>
  <c r="I253" i="1"/>
  <c r="I248" i="1"/>
  <c r="I247" i="1"/>
  <c r="I246" i="1"/>
  <c r="I241" i="1"/>
  <c r="I240" i="1"/>
  <c r="I239" i="1"/>
  <c r="I234" i="1"/>
  <c r="I233" i="1"/>
  <c r="I232" i="1"/>
  <c r="I227" i="1"/>
  <c r="I226" i="1"/>
  <c r="I225" i="1"/>
  <c r="G213" i="1"/>
  <c r="F213" i="1"/>
  <c r="I220" i="1"/>
  <c r="I219" i="1"/>
  <c r="I218" i="1"/>
  <c r="I211" i="1"/>
  <c r="I210" i="1"/>
  <c r="I209" i="1"/>
  <c r="I204" i="1"/>
  <c r="I203" i="1"/>
  <c r="I202" i="1"/>
  <c r="I201" i="1"/>
  <c r="I200" i="1"/>
  <c r="I199" i="1"/>
  <c r="I198" i="1"/>
  <c r="I197" i="1"/>
  <c r="I196" i="1"/>
  <c r="G160" i="1"/>
  <c r="F160" i="1"/>
  <c r="I90" i="1"/>
  <c r="I191" i="1"/>
  <c r="I190" i="1"/>
  <c r="I189" i="1"/>
  <c r="I188" i="1"/>
  <c r="I187" i="1"/>
  <c r="I186" i="1"/>
  <c r="I185" i="1"/>
  <c r="I180" i="1"/>
  <c r="I179" i="1"/>
  <c r="I178" i="1"/>
  <c r="I177" i="1"/>
  <c r="I176" i="1"/>
  <c r="I175" i="1"/>
  <c r="I174" i="1"/>
  <c r="I169" i="1"/>
  <c r="I168" i="1"/>
  <c r="I167" i="1"/>
  <c r="I166" i="1"/>
  <c r="I165" i="1"/>
  <c r="I159" i="1"/>
  <c r="I158" i="1"/>
  <c r="I153" i="1"/>
  <c r="I152" i="1"/>
  <c r="I151" i="1"/>
  <c r="I150" i="1"/>
  <c r="I149" i="1"/>
  <c r="I148" i="1"/>
  <c r="I147" i="1"/>
  <c r="I142" i="1"/>
  <c r="I141" i="1"/>
  <c r="I140" i="1"/>
  <c r="I139" i="1"/>
  <c r="I138" i="1"/>
  <c r="I137" i="1"/>
  <c r="I136" i="1"/>
  <c r="F107" i="1"/>
  <c r="I131" i="1"/>
  <c r="I130" i="1"/>
  <c r="I129" i="1"/>
  <c r="I128" i="1"/>
  <c r="I127" i="1"/>
  <c r="I126" i="1"/>
  <c r="I125" i="1"/>
  <c r="I124" i="1"/>
  <c r="I119" i="1"/>
  <c r="I118" i="1"/>
  <c r="I117" i="1"/>
  <c r="I116" i="1"/>
  <c r="I115" i="1"/>
  <c r="I114" i="1"/>
  <c r="I113" i="1"/>
  <c r="I112" i="1"/>
  <c r="I103" i="1"/>
  <c r="I102" i="1"/>
  <c r="I101" i="1"/>
  <c r="I100" i="1"/>
  <c r="I98" i="1"/>
  <c r="I97" i="1"/>
  <c r="I99" i="1"/>
  <c r="I89" i="1"/>
  <c r="I88" i="1"/>
  <c r="I87" i="1"/>
  <c r="I86" i="1"/>
  <c r="I85" i="1"/>
  <c r="I84" i="1"/>
  <c r="I109" i="1" l="1"/>
  <c r="I206" i="1"/>
  <c r="I144" i="1"/>
  <c r="I121" i="1"/>
  <c r="I182" i="1"/>
  <c r="I94" i="1"/>
  <c r="I171" i="1"/>
  <c r="I236" i="1"/>
  <c r="I243" i="1"/>
  <c r="I250" i="1"/>
  <c r="I257" i="1"/>
  <c r="I12" i="1"/>
  <c r="I133" i="1"/>
  <c r="I81" i="1"/>
  <c r="I155" i="1"/>
  <c r="I193" i="1"/>
  <c r="I229" i="1"/>
  <c r="I222" i="1"/>
  <c r="I78" i="1"/>
  <c r="I77" i="1"/>
  <c r="I76" i="1"/>
  <c r="I75" i="1"/>
  <c r="I74" i="1"/>
  <c r="I73" i="1"/>
  <c r="I72" i="1"/>
  <c r="I71" i="1"/>
  <c r="I66" i="1"/>
  <c r="I65" i="1"/>
  <c r="I64" i="1"/>
  <c r="I63" i="1"/>
  <c r="I62" i="1"/>
  <c r="I61" i="1"/>
  <c r="I60" i="1"/>
  <c r="I59" i="1"/>
  <c r="I53" i="1"/>
  <c r="I52" i="1"/>
  <c r="I51" i="1"/>
  <c r="I50" i="1"/>
  <c r="I49" i="1"/>
  <c r="I48" i="1"/>
  <c r="I47" i="1"/>
  <c r="I46" i="1"/>
  <c r="I45" i="1"/>
  <c r="I44" i="1"/>
  <c r="I43" i="1"/>
  <c r="I36" i="1"/>
  <c r="I37" i="1"/>
  <c r="I615" i="1"/>
  <c r="I616" i="1"/>
  <c r="I617" i="1"/>
  <c r="I621" i="1"/>
  <c r="I622" i="1"/>
  <c r="I32" i="1"/>
  <c r="I33" i="1"/>
  <c r="I34" i="1"/>
  <c r="I35" i="1"/>
  <c r="G54" i="1"/>
  <c r="F54" i="1"/>
  <c r="G107" i="1"/>
  <c r="G688" i="1"/>
  <c r="G687" i="1"/>
  <c r="I68" i="1" l="1"/>
  <c r="I29" i="1"/>
  <c r="I39" i="1"/>
  <c r="H639" i="1" l="1"/>
  <c r="H641" i="1" s="1"/>
  <c r="H657" i="1" s="1"/>
</calcChain>
</file>

<file path=xl/sharedStrings.xml><?xml version="1.0" encoding="utf-8"?>
<sst xmlns="http://schemas.openxmlformats.org/spreadsheetml/2006/main" count="887" uniqueCount="224">
  <si>
    <t>PERMIT PROCUREMENT &amp; ACQUISITION (ALL CITY &amp; ENGINEERING FEES ADDITIONAL, BILLED AT COST):</t>
    <phoneticPr fontId="2"/>
  </si>
  <si>
    <t>This contract reflects ALL installation trips to property.  The initial installation trip is to occur when the Information Center is to open and consists of Monuments signage, Information Center Interior signage, Information Exterior signage and the surrounding areas, as well as, buildings ready to receive signage.  Our LAST installation trip will consist of punch-out and completion of signage installation.  All signage needs for C.O. purposes that cannot be installed initially will be left on property with the job supervisor to suit his or her needs.  Fource Communications, Ltd. will do its best to coordinate total installation.  The owner, turnover schedules sometimes dictate otherwise, so to avoid any additional billing due to extra site visits, on site personnel will have ability to meet C.O. needs.</t>
  </si>
  <si>
    <t>50% deposit required to begin.  Balance due upon completion and final invoice.  If it becomes necessary for Fource Communications, Ltd. to secure a collections agency and/or attorney to pursue payment, the Client is responsible for any expenses incurred by Fource Communications, Ltd.</t>
  </si>
  <si>
    <t>**</t>
  </si>
  <si>
    <t>SUBTOTAL</t>
  </si>
  <si>
    <t>STANDARD PRODUCTION AND FABRICATION TIME IS 4-6 WEEKS FROM COMPLETE SIGNAGE BOOK APPROVAL.</t>
  </si>
  <si>
    <t>#1: ENTRY SIGNAGE</t>
    <phoneticPr fontId="2"/>
  </si>
  <si>
    <t>#2: LEASING CENTER- EXTERIOR SIGNAGE</t>
    <phoneticPr fontId="2"/>
  </si>
  <si>
    <t>SIGNAGE PROGRAM:</t>
    <phoneticPr fontId="2"/>
  </si>
  <si>
    <t>QTY.</t>
    <phoneticPr fontId="2"/>
  </si>
  <si>
    <t>DESCRIPTION:</t>
    <phoneticPr fontId="2"/>
  </si>
  <si>
    <t xml:space="preserve">SIGNAGE ADDED AFTER INSTALLATION BEGINS, WILL BE OPENED AS A SEPARATE JOB AND WILL REMAIN OPEN UNTIL AMOUNT IS GREAT ENOUGH TO BILL. </t>
    <phoneticPr fontId="2"/>
  </si>
  <si>
    <t>****</t>
    <phoneticPr fontId="2"/>
  </si>
  <si>
    <t>*****</t>
    <phoneticPr fontId="2"/>
  </si>
  <si>
    <t>******</t>
    <phoneticPr fontId="2"/>
  </si>
  <si>
    <t>ALL ADDITIONAL TRAVEL/INSTALLATION,  ALL SHIPPING/HANDLING OR COURIER CHARGES INCURRED WILL BE BILLED WITHIN THE FINAL NOTICE.</t>
    <phoneticPr fontId="2"/>
  </si>
  <si>
    <r>
      <t>DATE:</t>
    </r>
    <r>
      <rPr>
        <u/>
        <sz val="9"/>
        <rFont val="Gill Sans Light"/>
      </rPr>
      <t xml:space="preserve">                                                            </t>
    </r>
  </si>
  <si>
    <t xml:space="preserve">ARTWORK/PROOFS WILL BEGIN ONCE QUOTE IS SIGNED-OFF AND RECEIVED BY FOURCE. </t>
    <phoneticPr fontId="2"/>
  </si>
  <si>
    <t>TAX (TRAVEL/INSTALLATION AND PERMITS ARE NON-TAXABLE)</t>
  </si>
  <si>
    <t>This quote automatically expires at 5:00 PM of the 30th day from the date set out below.</t>
  </si>
  <si>
    <t>The signatures below serve as a binding contract that both parties agree to the scope of work and the terms and conditions as stated above.</t>
  </si>
  <si>
    <t>MURPHY WEBSTER, III</t>
  </si>
  <si>
    <t>FOURCE COMMUNICATIONS, LTD.</t>
  </si>
  <si>
    <t>DATE:</t>
  </si>
  <si>
    <t>CLIENT:</t>
  </si>
  <si>
    <t>ATTN:</t>
  </si>
  <si>
    <t>QUOTE #:</t>
  </si>
  <si>
    <t>***</t>
  </si>
  <si>
    <t>TERMS:</t>
  </si>
  <si>
    <t>COST PER SIGN</t>
  </si>
  <si>
    <t>TOTAL</t>
  </si>
  <si>
    <t>*******</t>
  </si>
  <si>
    <t>1/2 DOWN INSTALLMENT DUE UPON APPROVAL OF CONTRACT.</t>
  </si>
  <si>
    <t>FOURCE COMMUNICATIONS</t>
    <phoneticPr fontId="2"/>
  </si>
  <si>
    <t>QUOTE#</t>
    <phoneticPr fontId="2"/>
  </si>
  <si>
    <t>PAGE 2</t>
    <phoneticPr fontId="2"/>
  </si>
  <si>
    <t>BACK HALF WILL BE BILLED UPON INITIAL INSTALL LESS 10%. FINAL RETAINAGE DUE UPON COMPLETION.</t>
  </si>
  <si>
    <r>
      <t xml:space="preserve">#3: LEASING CENTER - INTERIOR SIGNAGE </t>
    </r>
    <r>
      <rPr>
        <b/>
        <sz val="9"/>
        <color indexed="10"/>
        <rFont val="Gill Sans Light"/>
      </rPr>
      <t>*ADA/BRAILLE WHERE APPLICABLE</t>
    </r>
  </si>
  <si>
    <t>A.</t>
  </si>
  <si>
    <t>B.</t>
  </si>
  <si>
    <t>C.</t>
  </si>
  <si>
    <t>D.</t>
  </si>
  <si>
    <t>E.</t>
  </si>
  <si>
    <t>"DOORS TO REMAIN UNLOCKED…" VINYL KIT</t>
  </si>
  <si>
    <t>POOL POLICY</t>
  </si>
  <si>
    <t>ADDT. TX 2022 POOL POLICY</t>
  </si>
  <si>
    <t>WARNING NO LIFEGUARD / NO DIVING</t>
  </si>
  <si>
    <t>911 EMERGENCY PHONE SIGN</t>
  </si>
  <si>
    <t>F.</t>
  </si>
  <si>
    <t>G.</t>
  </si>
  <si>
    <t>H.</t>
  </si>
  <si>
    <t>I.</t>
  </si>
  <si>
    <t>J.</t>
  </si>
  <si>
    <t>K.</t>
  </si>
  <si>
    <t>L.</t>
  </si>
  <si>
    <t>M.</t>
  </si>
  <si>
    <t>N.</t>
  </si>
  <si>
    <t>PAGE 4</t>
  </si>
  <si>
    <t>ADDRESS ID - INDIVIDUAL NUMERALS</t>
  </si>
  <si>
    <t>DOUBLE DOOR VINYL KIT (HOURS, LOGO, URL, PHONE)</t>
  </si>
  <si>
    <t>FIRE PIT GUIDELINES PLAQUE</t>
  </si>
  <si>
    <t>PAGE 3</t>
  </si>
  <si>
    <t>O.</t>
  </si>
  <si>
    <t>P.</t>
  </si>
  <si>
    <t>Q.</t>
  </si>
  <si>
    <t>R.</t>
  </si>
  <si>
    <t>MANAGER ID W/ BACKER</t>
  </si>
  <si>
    <t>ASST. MANAGER ID W/ BACKER</t>
  </si>
  <si>
    <t>CONVIENIENCE ROOM ID</t>
  </si>
  <si>
    <t>UNISEX RESTROOM (X2 @ LEASE, X1 @ FITNESS, X2 @ CLUB)</t>
  </si>
  <si>
    <t>CO-WORK ID</t>
  </si>
  <si>
    <t>CO-WORK POLICY - WALL MOUNT</t>
  </si>
  <si>
    <t xml:space="preserve">MICRO OFFICE ID </t>
  </si>
  <si>
    <t>CONFERENCE ROOM ID</t>
  </si>
  <si>
    <t>MECHANICAL ID (X1 @ FIT, X2 @ LEASE, X3 @ CLUB)</t>
  </si>
  <si>
    <t>MAILROOM ID</t>
  </si>
  <si>
    <t>FITNESS POLICY - WALL MOUNT</t>
  </si>
  <si>
    <t>AV ID (@ LVL10)</t>
  </si>
  <si>
    <t>CLUB ROOM ID</t>
  </si>
  <si>
    <t>CLUB ROOM POLICY - WALL MOUNT</t>
  </si>
  <si>
    <t>SPEAK EASY ID (LVL31)</t>
  </si>
  <si>
    <t>SPEAK EASY POLICY - WALL MOUNT (LVL31)</t>
  </si>
  <si>
    <t>S.</t>
  </si>
  <si>
    <t>MAX OCCUPANCY (LEASE, CO-WORK, FITNESS , CLUB, SPEAK EASY)</t>
  </si>
  <si>
    <r>
      <t xml:space="preserve">#4: PARKING GARAGE - LEVEL B1 SIGNAGE </t>
    </r>
    <r>
      <rPr>
        <b/>
        <sz val="9"/>
        <color indexed="10"/>
        <rFont val="Gill Sans Light"/>
      </rPr>
      <t>*ADA/BRAILLE WHERE APPLICABLE</t>
    </r>
  </si>
  <si>
    <t>GARAGE TO BUILDING / STAIR / ELEVATOR LOBBY</t>
  </si>
  <si>
    <t>ELEVATOR EGRESS MAP / DO NOT USE</t>
  </si>
  <si>
    <t>ELECTRICAL ID</t>
  </si>
  <si>
    <t>MAIN ELECTRICAL ID</t>
  </si>
  <si>
    <t>MPOE ID</t>
  </si>
  <si>
    <t>BUILDING TO GARAGE</t>
  </si>
  <si>
    <t>ELEVATOR LOBBY ID</t>
  </si>
  <si>
    <t>STAIR ACCESS</t>
  </si>
  <si>
    <r>
      <t xml:space="preserve">#5: PARKING GARAGE - LEVEL 1 SIGNAGE </t>
    </r>
    <r>
      <rPr>
        <b/>
        <sz val="9"/>
        <color indexed="10"/>
        <rFont val="Gill Sans Light"/>
      </rPr>
      <t>*ADA/BRAILLE WHERE APPLICABLE</t>
    </r>
  </si>
  <si>
    <t xml:space="preserve">GARAGE TO BUILIDING </t>
  </si>
  <si>
    <t xml:space="preserve">RETAIL TRASH ID </t>
  </si>
  <si>
    <t>RETAIL TRASH POLICY - WALL MOUNT</t>
  </si>
  <si>
    <t>LOADING AREA/ DO NOT BLOCK</t>
  </si>
  <si>
    <r>
      <t xml:space="preserve">#6: PARKING GARAGE - LEVEL 2 SIGNAGE </t>
    </r>
    <r>
      <rPr>
        <b/>
        <sz val="9"/>
        <color indexed="10"/>
        <rFont val="Gill Sans Light"/>
      </rPr>
      <t>*ADA/BRAILLE WHERE APPLICABLE</t>
    </r>
  </si>
  <si>
    <t>GARAGE TO BUILIDING / ELEVATOR LOBBY</t>
  </si>
  <si>
    <t xml:space="preserve">BUILDING TO GARAGE </t>
  </si>
  <si>
    <t>LOADING AREA ID</t>
  </si>
  <si>
    <r>
      <t xml:space="preserve">#7: PARKING GARAGE - LEVEL 3 SIGNAGE </t>
    </r>
    <r>
      <rPr>
        <b/>
        <sz val="9"/>
        <color indexed="10"/>
        <rFont val="Gill Sans Light"/>
      </rPr>
      <t>*ADA/BRAILLE WHERE APPLICABLE</t>
    </r>
  </si>
  <si>
    <t>RESIDENT STORAGE ID</t>
  </si>
  <si>
    <t xml:space="preserve">GARAGE TO BUILDING </t>
  </si>
  <si>
    <r>
      <t xml:space="preserve">#8: PARKING GARAGE - LEVEL 4 SIGNAGE </t>
    </r>
    <r>
      <rPr>
        <b/>
        <sz val="9"/>
        <color indexed="10"/>
        <rFont val="Gill Sans Light"/>
      </rPr>
      <t>*ADA/BRAILLE WHERE APPLICABLE</t>
    </r>
  </si>
  <si>
    <r>
      <t xml:space="preserve">#9: PARKING GARAGE - LEVEL 5 SIGNAGE </t>
    </r>
    <r>
      <rPr>
        <b/>
        <sz val="9"/>
        <color indexed="10"/>
        <rFont val="Gill Sans Light"/>
      </rPr>
      <t>*ADA/BRAILLE WHERE APPLICABLE</t>
    </r>
  </si>
  <si>
    <r>
      <t xml:space="preserve">#10: PARKING GARAGE - LEVEL 6 SIGNAGE </t>
    </r>
    <r>
      <rPr>
        <b/>
        <sz val="9"/>
        <color indexed="10"/>
        <rFont val="Gill Sans Light"/>
      </rPr>
      <t>*ADA/BRAILLE WHERE APPLICABLE</t>
    </r>
  </si>
  <si>
    <r>
      <t xml:space="preserve">#11: PARKING GARAGE - LEVEL 7 SIGNAGE </t>
    </r>
    <r>
      <rPr>
        <b/>
        <sz val="9"/>
        <color indexed="10"/>
        <rFont val="Gill Sans Light"/>
      </rPr>
      <t>*ADA/BRAILLE WHERE APPLICABLE</t>
    </r>
  </si>
  <si>
    <r>
      <t xml:space="preserve">#12: PARKING GARAGE - LEVEL 8 SIGNAGE </t>
    </r>
    <r>
      <rPr>
        <b/>
        <sz val="9"/>
        <color indexed="10"/>
        <rFont val="Gill Sans Light"/>
      </rPr>
      <t>*ADA/BRAILLE WHERE APPLICABLE</t>
    </r>
  </si>
  <si>
    <r>
      <t xml:space="preserve">#13: PARKING GARAGE - LEVEL 9 SIGNAGE </t>
    </r>
    <r>
      <rPr>
        <b/>
        <sz val="9"/>
        <color indexed="10"/>
        <rFont val="Gill Sans Light"/>
      </rPr>
      <t>*ADA/BRAILLE WHERE APPLICABLE</t>
    </r>
  </si>
  <si>
    <r>
      <t xml:space="preserve">#14: LEVEL 1 SIGNAGE </t>
    </r>
    <r>
      <rPr>
        <b/>
        <sz val="9"/>
        <color indexed="10"/>
        <rFont val="Gill Sans Light"/>
      </rPr>
      <t>*ADA/BRAILLE WHERE APPLICABLE</t>
    </r>
  </si>
  <si>
    <t>FIRE COMMAND ROOM ID (4")</t>
  </si>
  <si>
    <r>
      <t xml:space="preserve">#15: LEVEL 2 SIGNAGE </t>
    </r>
    <r>
      <rPr>
        <b/>
        <sz val="9"/>
        <color indexed="10"/>
        <rFont val="Gill Sans Light"/>
      </rPr>
      <t>*ADA/BRAILLE WHERE APPLICABLE</t>
    </r>
  </si>
  <si>
    <t>GENERATOR ID</t>
  </si>
  <si>
    <t>TRASH ROOM ID</t>
  </si>
  <si>
    <t>TRASH POLICY - WALL MOUNT</t>
  </si>
  <si>
    <t>TRASH PICK-UP / DO NOT BLOCK</t>
  </si>
  <si>
    <r>
      <t xml:space="preserve">#16: LEVEL 3 SIGNAGE </t>
    </r>
    <r>
      <rPr>
        <b/>
        <sz val="9"/>
        <color indexed="10"/>
        <rFont val="Gill Sans Light"/>
      </rPr>
      <t>*ADA/BRAILLE WHERE APPLICABLE</t>
    </r>
  </si>
  <si>
    <t>PAGE 5</t>
  </si>
  <si>
    <r>
      <t xml:space="preserve">#17: LEVEL 4 SIGNAGE </t>
    </r>
    <r>
      <rPr>
        <b/>
        <sz val="9"/>
        <color indexed="10"/>
        <rFont val="Gill Sans Light"/>
      </rPr>
      <t>*ADA/BRAILLE WHERE APPLICABLE</t>
    </r>
  </si>
  <si>
    <r>
      <t xml:space="preserve">#18: LEVEL 5 SIGNAGE </t>
    </r>
    <r>
      <rPr>
        <b/>
        <sz val="9"/>
        <color indexed="10"/>
        <rFont val="Gill Sans Light"/>
      </rPr>
      <t>*ADA/BRAILLE WHERE APPLICABLE</t>
    </r>
  </si>
  <si>
    <r>
      <t xml:space="preserve">#19: LEVEL 6 SIGNAGE </t>
    </r>
    <r>
      <rPr>
        <b/>
        <sz val="9"/>
        <color indexed="10"/>
        <rFont val="Gill Sans Light"/>
      </rPr>
      <t>*ADA/BRAILLE WHERE APPLICABLE</t>
    </r>
  </si>
  <si>
    <r>
      <t xml:space="preserve">#20: LEVEL 7 SIGNAGE </t>
    </r>
    <r>
      <rPr>
        <b/>
        <sz val="9"/>
        <color indexed="10"/>
        <rFont val="Gill Sans Light"/>
      </rPr>
      <t>*ADA/BRAILLE WHERE APPLICABLE</t>
    </r>
  </si>
  <si>
    <r>
      <t xml:space="preserve">#21: LEVEL 8 SIGNAGE </t>
    </r>
    <r>
      <rPr>
        <b/>
        <sz val="9"/>
        <color indexed="10"/>
        <rFont val="Gill Sans Light"/>
      </rPr>
      <t>*ADA/BRAILLE WHERE APPLICABLE</t>
    </r>
  </si>
  <si>
    <r>
      <t xml:space="preserve">#22: LEVEL 9 SIGNAGE </t>
    </r>
    <r>
      <rPr>
        <b/>
        <sz val="9"/>
        <color indexed="10"/>
        <rFont val="Gill Sans Light"/>
      </rPr>
      <t>*ADA/BRAILLE WHERE APPLICABLE</t>
    </r>
  </si>
  <si>
    <t>PAGE 6</t>
  </si>
  <si>
    <r>
      <t xml:space="preserve">#23: LEVEL 10 SIGNAGE </t>
    </r>
    <r>
      <rPr>
        <b/>
        <sz val="9"/>
        <color indexed="10"/>
        <rFont val="Gill Sans Light"/>
      </rPr>
      <t>*ADA/BRAILLE WHERE APPLICABLE</t>
    </r>
  </si>
  <si>
    <t>HALLWAY DIRECTIONAL</t>
  </si>
  <si>
    <t xml:space="preserve">ELEVATOR LOBBY </t>
  </si>
  <si>
    <t>BC ID (VERIFY)</t>
  </si>
  <si>
    <t>TRASH ROOM POLICY - WALL MOUNT</t>
  </si>
  <si>
    <r>
      <t xml:space="preserve">#24: LEVEL 11 SIGNAGE </t>
    </r>
    <r>
      <rPr>
        <b/>
        <sz val="9"/>
        <color indexed="10"/>
        <rFont val="Gill Sans Light"/>
      </rPr>
      <t>*ADA/BRAILLE WHERE APPLICABLE</t>
    </r>
  </si>
  <si>
    <t>PLUMBING ID</t>
  </si>
  <si>
    <r>
      <t xml:space="preserve">#25: LEVEL 12 SIGNAGE </t>
    </r>
    <r>
      <rPr>
        <b/>
        <sz val="9"/>
        <color indexed="10"/>
        <rFont val="Gill Sans Light"/>
      </rPr>
      <t>*ADA/BRAILLE WHERE APPLICABLE</t>
    </r>
  </si>
  <si>
    <t>PAGE 7</t>
  </si>
  <si>
    <t>PAGE 8</t>
  </si>
  <si>
    <t>PAGE 9</t>
  </si>
  <si>
    <t>PAGE 10</t>
  </si>
  <si>
    <t>PAGE 11</t>
  </si>
  <si>
    <t>PAGE 12</t>
  </si>
  <si>
    <t>ROOF ACCESS (@STAIR 2)</t>
  </si>
  <si>
    <t>MECHANICAL ID</t>
  </si>
  <si>
    <t>PET GROOMING ID (@ LVL 16)</t>
  </si>
  <si>
    <t>PET OWNER LOUNGE ID (@ LVL16)</t>
  </si>
  <si>
    <t>PET GROOMING POLICY - WALL MOUNT</t>
  </si>
  <si>
    <t>EMPLOYEE ONLY (BOH, JANITOR)</t>
  </si>
  <si>
    <t>EMPLOYEE ONLY (JANITOR)</t>
  </si>
  <si>
    <t>UNISEX RESTROOM</t>
  </si>
  <si>
    <t>SPEAK EASY ID</t>
  </si>
  <si>
    <t>SPEAK EASY POLICY - WALL MOUNT</t>
  </si>
  <si>
    <t>MAX OCCUPANCY (CLUB, SPEAK EASY)</t>
  </si>
  <si>
    <t>PAGE 13</t>
  </si>
  <si>
    <t>DOG RUN ID / POLICY  (@ LVL 16)</t>
  </si>
  <si>
    <t>GRILL POLICIES (@POOL)</t>
  </si>
  <si>
    <t>ALAMO MANHATTAN</t>
  </si>
  <si>
    <t>3012 FAIRMOUNT ST. STE 100</t>
  </si>
  <si>
    <t>DALLAS, TX 75201</t>
  </si>
  <si>
    <t>DAVID SAMSON</t>
  </si>
  <si>
    <t>2211AM01S</t>
  </si>
  <si>
    <t>AM FAIRMOUNT</t>
  </si>
  <si>
    <t>TO CANOPY ON FAIRMOUNT FRONTAGE OVER LEASING ENTRY</t>
  </si>
  <si>
    <t xml:space="preserve">ILLUMINATED CANOPY SIGN - STAND-UP LETTERS ON RAIL. LOADS </t>
  </si>
  <si>
    <t>*POWER TO LOCATION BY OTHERS*</t>
  </si>
  <si>
    <t>TO CANOPY ON CARLISLE FRONTAGE OVER LEASING AREA</t>
  </si>
  <si>
    <t>ILLUMINATED BLADE PARKING SIGN - GUESTS / RETAIL / RESIDENT</t>
  </si>
  <si>
    <t>*BLOCKING AND POWER TO LOCATION BY OTHERS*</t>
  </si>
  <si>
    <t>ALAM MANHATTAN - CAST PLAQUE - WALL MOUNT</t>
  </si>
  <si>
    <t>STUD ATTACHMENT</t>
  </si>
  <si>
    <r>
      <t xml:space="preserve">#3: LEASING CENTER - INTERIOR SIGNAGE CONT. </t>
    </r>
    <r>
      <rPr>
        <b/>
        <sz val="9"/>
        <color indexed="10"/>
        <rFont val="Gill Sans Light"/>
      </rPr>
      <t>*ADA/BRAILLE WHERE APPLICABLE</t>
    </r>
  </si>
  <si>
    <t>CUSTOM FUTURE RESIDENT PARKING SIGN - WALL MOUNT</t>
  </si>
  <si>
    <t>CUSTOM HANDICAP PARKING SIGN - WALL MOUNT</t>
  </si>
  <si>
    <t>CUSTOM USPS PARKING SIGN - WALL MOUNT</t>
  </si>
  <si>
    <t>LOBBY SIGN ALLOWANCE</t>
  </si>
  <si>
    <t>T.</t>
  </si>
  <si>
    <t>FITNESS ID (@LVL10) (X1 @ HALL, X1 POOL TO FITNESS)</t>
  </si>
  <si>
    <t>CLEARANCE BAR / WAYFINDING PACKAGE AT GRADE CHANGE</t>
  </si>
  <si>
    <t>CLEARANCE BAR PACKAGE (X2) 8' W  BARS ENTER / EXIT</t>
  </si>
  <si>
    <t>HANG-DOWN CAUTION / DIRECTIONAL</t>
  </si>
  <si>
    <t>FIRE DOMESTIC PUMP ROOM - W/ RED REFLECTIVE</t>
  </si>
  <si>
    <t xml:space="preserve">DESIGNATED REATIL GUEST PARKING </t>
  </si>
  <si>
    <r>
      <t xml:space="preserve">#11: PARKING GARAGE - LEVEL 7 SIGNAGE CONT. </t>
    </r>
    <r>
      <rPr>
        <b/>
        <sz val="9"/>
        <color indexed="10"/>
        <rFont val="Gill Sans Light"/>
      </rPr>
      <t>*ADA/BRAILLE WHERE APPLICABLE</t>
    </r>
  </si>
  <si>
    <t>RETAIL SUITE ID - VINYL FOR X2 RETAIL CONDITIONS</t>
  </si>
  <si>
    <t>EXIT / STAIR / LEVEL</t>
  </si>
  <si>
    <t>GARAGE TO BUILDING / EXIT / STAIR / LEVEL</t>
  </si>
  <si>
    <t>EXIT / STAIR / LEVEL (X2 @ STAIR 1)</t>
  </si>
  <si>
    <t>EXIT / STAIR / LEVEL (X2 @ EACH STAIR)</t>
  </si>
  <si>
    <r>
      <t xml:space="preserve">#15: LEVEL 2 SIGNAGE CONT. </t>
    </r>
    <r>
      <rPr>
        <b/>
        <sz val="9"/>
        <color indexed="10"/>
        <rFont val="Gill Sans Light"/>
      </rPr>
      <t>*ADA/BRAILLE WHERE APPLICABLE</t>
    </r>
  </si>
  <si>
    <t>UNIT DOOR NUMBERS - SCONCE / UNIT #</t>
  </si>
  <si>
    <t>NUMERA "MADELINE" PRODUCT</t>
  </si>
  <si>
    <t>EXIT / STAIR / ELEVATOR ACCESS PLAQUE (POOL TO COORIDOR)</t>
  </si>
  <si>
    <r>
      <t xml:space="preserve">#26: LEVEL 14 SIGNAGE </t>
    </r>
    <r>
      <rPr>
        <b/>
        <sz val="9"/>
        <color indexed="10"/>
        <rFont val="Gill Sans Light"/>
      </rPr>
      <t>*ADA/BRAILLE WHERE APPLICABLE</t>
    </r>
  </si>
  <si>
    <r>
      <t xml:space="preserve">#27: LEVEL 15 SIGNAGE </t>
    </r>
    <r>
      <rPr>
        <b/>
        <sz val="9"/>
        <color indexed="10"/>
        <rFont val="Gill Sans Light"/>
      </rPr>
      <t>*ADA/BRAILLE WHERE APPLICABLE</t>
    </r>
  </si>
  <si>
    <r>
      <t xml:space="preserve">#28: LEVEL 16 SIGNAGE </t>
    </r>
    <r>
      <rPr>
        <b/>
        <sz val="9"/>
        <color indexed="10"/>
        <rFont val="Gill Sans Light"/>
      </rPr>
      <t>*ADA/BRAILLE WHERE APPLICABLE</t>
    </r>
  </si>
  <si>
    <r>
      <t xml:space="preserve">#29: LEVEL 17 SIGNAGE </t>
    </r>
    <r>
      <rPr>
        <b/>
        <sz val="9"/>
        <color indexed="10"/>
        <rFont val="Gill Sans Light"/>
      </rPr>
      <t>*ADA/BRAILLE WHERE APPLICABLE</t>
    </r>
  </si>
  <si>
    <r>
      <t xml:space="preserve">#30: LEVEL 18 SIGNAGE </t>
    </r>
    <r>
      <rPr>
        <b/>
        <sz val="9"/>
        <color indexed="10"/>
        <rFont val="Gill Sans Light"/>
      </rPr>
      <t>*ADA/BRAILLE WHERE APPLICABLE</t>
    </r>
  </si>
  <si>
    <r>
      <t xml:space="preserve">#31: LEVEL 19 SIGNAGE </t>
    </r>
    <r>
      <rPr>
        <b/>
        <sz val="9"/>
        <color indexed="10"/>
        <rFont val="Gill Sans Light"/>
      </rPr>
      <t>*ADA/BRAILLE WHERE APPLICABLE</t>
    </r>
  </si>
  <si>
    <r>
      <t xml:space="preserve">#32: LEVEL 20 SIGNAGE </t>
    </r>
    <r>
      <rPr>
        <b/>
        <sz val="9"/>
        <color indexed="10"/>
        <rFont val="Gill Sans Light"/>
      </rPr>
      <t>*ADA/BRAILLE WHERE APPLICABLE</t>
    </r>
  </si>
  <si>
    <r>
      <t xml:space="preserve">#33: LEVEL 21 SIGNAGE </t>
    </r>
    <r>
      <rPr>
        <b/>
        <sz val="9"/>
        <color indexed="10"/>
        <rFont val="Gill Sans Light"/>
      </rPr>
      <t>*ADA/BRAILLE WHERE APPLICABLE</t>
    </r>
  </si>
  <si>
    <r>
      <t xml:space="preserve">#34: LEVEL 22 SIGNAGE </t>
    </r>
    <r>
      <rPr>
        <b/>
        <sz val="9"/>
        <color indexed="10"/>
        <rFont val="Gill Sans Light"/>
      </rPr>
      <t>*ADA/BRAILLE WHERE APPLICABLE</t>
    </r>
  </si>
  <si>
    <r>
      <t xml:space="preserve">#35: LEVEL 23 SIGNAGE </t>
    </r>
    <r>
      <rPr>
        <b/>
        <sz val="9"/>
        <color indexed="10"/>
        <rFont val="Gill Sans Light"/>
      </rPr>
      <t>*ADA/BRAILLE WHERE APPLICABLE</t>
    </r>
  </si>
  <si>
    <r>
      <t xml:space="preserve">#36: LEVEL 24 SIGNAGE </t>
    </r>
    <r>
      <rPr>
        <b/>
        <sz val="9"/>
        <color indexed="10"/>
        <rFont val="Gill Sans Light"/>
      </rPr>
      <t>*ADA/BRAILLE WHERE APPLICABLE</t>
    </r>
  </si>
  <si>
    <r>
      <t xml:space="preserve">#37: LEVEL 25 SIGNAGE </t>
    </r>
    <r>
      <rPr>
        <b/>
        <sz val="9"/>
        <color indexed="10"/>
        <rFont val="Gill Sans Light"/>
      </rPr>
      <t>*ADA/BRAILLE WHERE APPLICABLE</t>
    </r>
  </si>
  <si>
    <r>
      <t xml:space="preserve">#38: LEVEL 26 SIGNAGE </t>
    </r>
    <r>
      <rPr>
        <b/>
        <sz val="9"/>
        <color indexed="10"/>
        <rFont val="Gill Sans Light"/>
      </rPr>
      <t>*ADA/BRAILLE WHERE APPLICABLE</t>
    </r>
  </si>
  <si>
    <r>
      <t xml:space="preserve">#39: LEVEL 27 SIGNAGE </t>
    </r>
    <r>
      <rPr>
        <b/>
        <sz val="9"/>
        <color indexed="10"/>
        <rFont val="Gill Sans Light"/>
      </rPr>
      <t>*ADA/BRAILLE WHERE APPLICABLE</t>
    </r>
  </si>
  <si>
    <r>
      <t xml:space="preserve">#40: LEVEL 28 SIGNAGE </t>
    </r>
    <r>
      <rPr>
        <b/>
        <sz val="9"/>
        <color indexed="10"/>
        <rFont val="Gill Sans Light"/>
      </rPr>
      <t>*ADA/BRAILLE WHERE APPLICABLE</t>
    </r>
  </si>
  <si>
    <r>
      <t xml:space="preserve">#41: LEVEL 29 SIGNAGE </t>
    </r>
    <r>
      <rPr>
        <b/>
        <sz val="9"/>
        <color indexed="10"/>
        <rFont val="Gill Sans Light"/>
      </rPr>
      <t>*ADA/BRAILLE WHERE APPLICABLE</t>
    </r>
  </si>
  <si>
    <r>
      <t xml:space="preserve">#42: LEVEL 30 SIGNAGE </t>
    </r>
    <r>
      <rPr>
        <b/>
        <sz val="9"/>
        <color indexed="10"/>
        <rFont val="Gill Sans Light"/>
      </rPr>
      <t>*ADA/BRAILLE WHERE APPLICABLE</t>
    </r>
  </si>
  <si>
    <r>
      <t xml:space="preserve">#43: LEVEL 31 SIGNAGE </t>
    </r>
    <r>
      <rPr>
        <b/>
        <sz val="9"/>
        <color indexed="10"/>
        <rFont val="Gill Sans Light"/>
      </rPr>
      <t>*ADA/BRAILLE WHERE APPLICABLE</t>
    </r>
  </si>
  <si>
    <r>
      <t xml:space="preserve">#44: AMENITY SIGNAGE </t>
    </r>
    <r>
      <rPr>
        <b/>
        <sz val="9"/>
        <color indexed="10"/>
        <rFont val="Gill Sans Light"/>
      </rPr>
      <t>*ADA/BRAILLE WHERE APPLICABLE</t>
    </r>
  </si>
  <si>
    <t>LOGO / POOL DESIGNATION W/ HOURS - VINYL KIT</t>
  </si>
  <si>
    <t>SHIPPING &amp; HANDLING / DELIVERY OF SCONE / UNIT # ALLOWANCE</t>
  </si>
  <si>
    <t>ILLUMINATED FIN SIGN - DOUBLE FACED - FIN IS INTEGRAL PART OF</t>
  </si>
  <si>
    <t>BUILDING W/ SIGN FAE MOUNTING.</t>
  </si>
  <si>
    <t>*POWER AND BLOCKING TO LOCATION BY OTHERS*</t>
  </si>
  <si>
    <t>STAIRWELL - ON PHOTOLUMINESCENT ACRYLIC</t>
  </si>
  <si>
    <t>RETAIL SUITE ID - VINYL ADDRESS</t>
  </si>
  <si>
    <t>ADDRESS / BUILDING ID W/ UNIT SPREAD</t>
  </si>
  <si>
    <r>
      <t xml:space="preserve">#29: LEVEL 17 SIGNAGE CONT </t>
    </r>
    <r>
      <rPr>
        <b/>
        <sz val="9"/>
        <color indexed="10"/>
        <rFont val="Gill Sans Light"/>
      </rPr>
      <t>*ADA/BRAILLE WHERE APPLICABLE</t>
    </r>
  </si>
  <si>
    <r>
      <t xml:space="preserve">#32: LEVEL 20 SIGNAGE CONT. </t>
    </r>
    <r>
      <rPr>
        <b/>
        <sz val="9"/>
        <color indexed="10"/>
        <rFont val="Gill Sans Light"/>
      </rPr>
      <t>*ADA/BRAILLE WHERE APPLICABLE</t>
    </r>
  </si>
  <si>
    <r>
      <t xml:space="preserve">#39: LEVEL 27 SIGNAGE CONT. </t>
    </r>
    <r>
      <rPr>
        <b/>
        <sz val="9"/>
        <color indexed="10"/>
        <rFont val="Gill Sans Light"/>
      </rPr>
      <t>*ADA/BRAILLE WHERE APPLICABLE</t>
    </r>
  </si>
  <si>
    <t>TRAVEL/INSTALLATION (INCLUDES: CRANE &amp; PERSONNEL)</t>
  </si>
  <si>
    <t>05.22.23</t>
  </si>
  <si>
    <t>REV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</si>
</sst>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font>
      <sz val="10"/>
      <name val="Verdana"/>
    </font>
    <font>
      <sz val="10"/>
      <name val="Verdana"/>
      <family val="2"/>
    </font>
    <font>
      <sz val="8"/>
      <name val="Verdana"/>
      <family val="2"/>
    </font>
    <font>
      <sz val="10"/>
      <name val="Gill Sans Light"/>
    </font>
    <font>
      <sz val="8"/>
      <name val="Gill Sans Light"/>
    </font>
    <font>
      <sz val="9"/>
      <name val="Gill Sans Light"/>
    </font>
    <font>
      <b/>
      <sz val="9"/>
      <name val="Gill Sans Light"/>
    </font>
    <font>
      <sz val="9"/>
      <name val="Verdana"/>
      <family val="2"/>
    </font>
    <font>
      <b/>
      <sz val="9"/>
      <color indexed="10"/>
      <name val="Gill Sans Light"/>
    </font>
    <font>
      <u/>
      <sz val="9"/>
      <name val="Gill Sans Light"/>
    </font>
    <font>
      <b/>
      <sz val="8.6999999999999993"/>
      <name val="Gill Sans Light"/>
    </font>
    <font>
      <sz val="8.5"/>
      <name val="Gill Sans Light"/>
    </font>
  </fonts>
  <fills count="2">
    <fill>
      <patternFill patternType="none"/>
    </fill>
    <fill>
      <patternFill patternType="gray125"/>
    </fill>
  </fills>
  <borders count="6">
    <border>
      <left/>
      <right/>
      <top/>
      <bottom/>
      <diagonal/>
    </border>
    <border>
      <left/>
      <right/>
      <top style="dotted">
        <color indexed="64"/>
      </top>
      <bottom/>
      <diagonal/>
    </border>
    <border>
      <left/>
      <right/>
      <top/>
      <bottom style="dotted">
        <color indexed="64"/>
      </bottom>
      <diagonal/>
    </border>
    <border>
      <left/>
      <right/>
      <top style="double">
        <color indexed="64"/>
      </top>
      <bottom/>
      <diagonal/>
    </border>
    <border>
      <left/>
      <right/>
      <top/>
      <bottom style="double">
        <color indexed="64"/>
      </bottom>
      <diagonal/>
    </border>
    <border>
      <left/>
      <right/>
      <top style="thin">
        <color indexed="64"/>
      </top>
      <bottom/>
      <diagonal/>
    </border>
  </borders>
  <cellStyleXfs count="2">
    <xf numFmtId="0" fontId="0" fillId="0" borderId="0"/>
    <xf numFmtId="44" fontId="1" fillId="0" borderId="0" applyFont="0" applyFill="0" applyBorder="0" applyAlignment="0" applyProtection="0"/>
  </cellStyleXfs>
  <cellXfs count="77">
    <xf numFmtId="0" fontId="0" fillId="0" borderId="0" xfId="0"/>
    <xf numFmtId="0" fontId="3" fillId="0" borderId="0" xfId="0" applyFont="1"/>
    <xf numFmtId="0" fontId="5" fillId="0" borderId="0" xfId="0" applyFont="1"/>
    <xf numFmtId="0" fontId="6" fillId="0" borderId="0" xfId="0" applyFont="1"/>
    <xf numFmtId="0" fontId="6" fillId="0" borderId="0" xfId="0" applyFont="1" applyAlignment="1">
      <alignment horizontal="center"/>
    </xf>
    <xf numFmtId="44" fontId="5" fillId="0" borderId="0" xfId="1" applyFont="1"/>
    <xf numFmtId="0" fontId="5" fillId="0" borderId="1" xfId="0" applyFont="1" applyBorder="1"/>
    <xf numFmtId="44" fontId="5" fillId="0" borderId="1" xfId="1" applyFont="1" applyBorder="1"/>
    <xf numFmtId="0" fontId="5" fillId="0" borderId="2" xfId="0" applyFont="1" applyBorder="1"/>
    <xf numFmtId="44" fontId="5" fillId="0" borderId="2" xfId="1" applyFont="1" applyBorder="1"/>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center"/>
    </xf>
    <xf numFmtId="37" fontId="5" fillId="0" borderId="0" xfId="0" quotePrefix="1" applyNumberFormat="1" applyFont="1" applyAlignment="1">
      <alignment horizontal="center"/>
    </xf>
    <xf numFmtId="44" fontId="5" fillId="0" borderId="0" xfId="1" applyFont="1" applyBorder="1"/>
    <xf numFmtId="44" fontId="5" fillId="0" borderId="1" xfId="0" applyNumberFormat="1" applyFont="1" applyBorder="1"/>
    <xf numFmtId="44" fontId="5" fillId="0" borderId="2" xfId="0" applyNumberFormat="1" applyFont="1" applyBorder="1"/>
    <xf numFmtId="39" fontId="5" fillId="0" borderId="0" xfId="0" applyNumberFormat="1" applyFont="1"/>
    <xf numFmtId="44" fontId="5" fillId="0" borderId="0" xfId="0" applyNumberFormat="1" applyFont="1"/>
    <xf numFmtId="44" fontId="5" fillId="0" borderId="0" xfId="0" applyNumberFormat="1" applyFont="1" applyAlignment="1">
      <alignment horizontal="center"/>
    </xf>
    <xf numFmtId="0" fontId="5" fillId="0" borderId="0" xfId="0" applyFont="1" applyAlignment="1">
      <alignment vertical="top"/>
    </xf>
    <xf numFmtId="0" fontId="6" fillId="0" borderId="1" xfId="0" applyFont="1" applyBorder="1"/>
    <xf numFmtId="44" fontId="6" fillId="0" borderId="1" xfId="0" applyNumberFormat="1" applyFont="1" applyBorder="1"/>
    <xf numFmtId="0" fontId="6" fillId="0" borderId="2" xfId="0" applyFont="1" applyBorder="1"/>
    <xf numFmtId="44" fontId="6" fillId="0" borderId="2" xfId="0" applyNumberFormat="1" applyFont="1" applyBorder="1"/>
    <xf numFmtId="44" fontId="6" fillId="0" borderId="0" xfId="0" applyNumberFormat="1" applyFont="1"/>
    <xf numFmtId="0" fontId="5" fillId="0" borderId="1" xfId="0" applyFont="1" applyBorder="1" applyAlignment="1">
      <alignment horizontal="center"/>
    </xf>
    <xf numFmtId="0" fontId="5" fillId="0" borderId="3" xfId="0" applyFont="1" applyBorder="1"/>
    <xf numFmtId="0" fontId="5" fillId="0" borderId="4" xfId="0" applyFont="1" applyBorder="1"/>
    <xf numFmtId="0" fontId="5" fillId="0" borderId="0" xfId="0" applyFont="1" applyAlignment="1">
      <alignment horizontal="right"/>
    </xf>
    <xf numFmtId="0" fontId="6" fillId="0" borderId="0" xfId="0" applyFont="1" applyAlignment="1">
      <alignment horizontal="left" vertical="top"/>
    </xf>
    <xf numFmtId="44" fontId="6" fillId="0" borderId="0" xfId="1" applyFont="1" applyAlignment="1">
      <alignment horizontal="left" vertical="top"/>
    </xf>
    <xf numFmtId="44" fontId="6" fillId="0" borderId="0" xfId="1" applyFont="1"/>
    <xf numFmtId="0" fontId="5" fillId="0" borderId="0" xfId="0" applyFont="1" applyAlignment="1">
      <alignment horizontal="left" vertical="top"/>
    </xf>
    <xf numFmtId="0" fontId="5" fillId="0" borderId="5" xfId="0" applyFont="1" applyBorder="1"/>
    <xf numFmtId="44" fontId="5" fillId="0" borderId="0" xfId="0" applyNumberFormat="1" applyFont="1" applyAlignment="1">
      <alignment horizontal="right"/>
    </xf>
    <xf numFmtId="0" fontId="11" fillId="0" borderId="0" xfId="0" applyFont="1"/>
    <xf numFmtId="0" fontId="6" fillId="0" borderId="0" xfId="0" applyFont="1" applyAlignment="1">
      <alignment horizontal="left"/>
    </xf>
    <xf numFmtId="0" fontId="7" fillId="0" borderId="0" xfId="0" applyFont="1"/>
    <xf numFmtId="0" fontId="6" fillId="0" borderId="0" xfId="0" applyFont="1" applyAlignment="1">
      <alignment horizontal="center" vertical="center"/>
    </xf>
    <xf numFmtId="0" fontId="5" fillId="0" borderId="0" xfId="0" quotePrefix="1" applyFont="1" applyAlignment="1">
      <alignment horizontal="center"/>
    </xf>
    <xf numFmtId="44" fontId="5" fillId="0" borderId="0" xfId="1" applyFont="1" applyAlignment="1"/>
    <xf numFmtId="0" fontId="11" fillId="0" borderId="0" xfId="0" applyFont="1" applyAlignment="1">
      <alignment horizontal="left"/>
    </xf>
    <xf numFmtId="0" fontId="5" fillId="0" borderId="0" xfId="0" applyFont="1" applyAlignment="1">
      <alignment horizontal="left"/>
    </xf>
    <xf numFmtId="0" fontId="6" fillId="0" borderId="0" xfId="0" applyFont="1" applyAlignment="1">
      <alignment horizontal="left" vertical="center"/>
    </xf>
    <xf numFmtId="44" fontId="6" fillId="0" borderId="0" xfId="0" applyNumberFormat="1" applyFont="1" applyAlignment="1">
      <alignment horizontal="center" vertical="center"/>
    </xf>
    <xf numFmtId="44" fontId="5" fillId="0" borderId="0" xfId="0" applyNumberFormat="1" applyFont="1" applyAlignment="1">
      <alignment horizontal="center" vertical="center"/>
    </xf>
    <xf numFmtId="44" fontId="5" fillId="0" borderId="0" xfId="0" applyNumberFormat="1" applyFont="1" applyAlignment="1">
      <alignment horizontal="left" vertical="center"/>
    </xf>
    <xf numFmtId="0" fontId="6" fillId="0" borderId="0" xfId="0" applyFont="1" applyAlignment="1">
      <alignment horizontal="left" vertical="center" wrapText="1"/>
    </xf>
    <xf numFmtId="0" fontId="6" fillId="0" borderId="1" xfId="0" applyFont="1" applyBorder="1" applyAlignment="1">
      <alignment horizontal="left" vertical="center"/>
    </xf>
    <xf numFmtId="0" fontId="6" fillId="0" borderId="2" xfId="0" applyFont="1" applyBorder="1" applyAlignment="1">
      <alignment horizontal="left" vertical="center"/>
    </xf>
    <xf numFmtId="44" fontId="6" fillId="0" borderId="1" xfId="0" applyNumberFormat="1" applyFont="1" applyBorder="1" applyAlignment="1">
      <alignment horizontal="center" vertical="center"/>
    </xf>
    <xf numFmtId="44" fontId="6" fillId="0" borderId="2" xfId="0" applyNumberFormat="1" applyFont="1" applyBorder="1" applyAlignment="1">
      <alignment horizontal="center" vertical="center"/>
    </xf>
    <xf numFmtId="44" fontId="5" fillId="0" borderId="0" xfId="0" applyNumberFormat="1" applyFont="1" applyAlignment="1">
      <alignment horizontal="center" vertical="center"/>
    </xf>
    <xf numFmtId="44" fontId="6" fillId="0" borderId="3" xfId="1" applyFont="1" applyBorder="1" applyAlignment="1">
      <alignment horizontal="center" vertical="center"/>
    </xf>
    <xf numFmtId="0" fontId="6" fillId="0" borderId="4" xfId="0" applyFont="1" applyBorder="1" applyAlignment="1">
      <alignment horizontal="center" vertical="center"/>
    </xf>
    <xf numFmtId="0" fontId="5" fillId="0" borderId="0" xfId="0" applyFont="1" applyAlignment="1">
      <alignment horizontal="left" vertical="top" wrapText="1"/>
    </xf>
    <xf numFmtId="0" fontId="7" fillId="0" borderId="0" xfId="0" applyFont="1"/>
    <xf numFmtId="0" fontId="6" fillId="0" borderId="0" xfId="0" applyFont="1" applyAlignment="1">
      <alignment horizontal="left" vertical="top" wrapText="1"/>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0" xfId="0" applyFont="1" applyAlignment="1">
      <alignment horizontal="left" wrapText="1"/>
    </xf>
    <xf numFmtId="0" fontId="5" fillId="0" borderId="0" xfId="0" applyFont="1" applyAlignment="1">
      <alignment horizontal="left"/>
    </xf>
    <xf numFmtId="0" fontId="9" fillId="0" borderId="0" xfId="0" applyFont="1"/>
    <xf numFmtId="0" fontId="5" fillId="0" borderId="5" xfId="0" applyFont="1" applyBorder="1" applyAlignment="1">
      <alignment horizontal="left"/>
    </xf>
    <xf numFmtId="0" fontId="7" fillId="0" borderId="5" xfId="0" applyFont="1" applyBorder="1" applyAlignment="1">
      <alignment horizontal="left"/>
    </xf>
    <xf numFmtId="0" fontId="6" fillId="0" borderId="2" xfId="0" applyFont="1" applyBorder="1" applyAlignment="1">
      <alignment horizontal="center" vertical="center"/>
    </xf>
    <xf numFmtId="44" fontId="6" fillId="0" borderId="1" xfId="1" applyFont="1" applyBorder="1" applyAlignment="1">
      <alignment horizontal="center" vertical="center"/>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44" fontId="6" fillId="0" borderId="2" xfId="1" applyFont="1" applyBorder="1" applyAlignment="1">
      <alignment horizontal="center" vertical="center"/>
    </xf>
    <xf numFmtId="0" fontId="6" fillId="0" borderId="1" xfId="0" applyFont="1" applyBorder="1" applyAlignment="1">
      <alignment horizontal="left"/>
    </xf>
    <xf numFmtId="0" fontId="7" fillId="0" borderId="1" xfId="0" applyFont="1" applyBorder="1"/>
    <xf numFmtId="0" fontId="6" fillId="0" borderId="2" xfId="0" applyFont="1" applyBorder="1" applyAlignment="1">
      <alignment horizontal="left"/>
    </xf>
    <xf numFmtId="0" fontId="7" fillId="0" borderId="2" xfId="0" applyFont="1" applyBorder="1"/>
    <xf numFmtId="0" fontId="6" fillId="0" borderId="1" xfId="0" applyFont="1" applyBorder="1" applyAlignment="1">
      <alignment horizontal="left" vertical="center" wrapText="1"/>
    </xf>
    <xf numFmtId="0" fontId="6" fillId="0" borderId="2" xfId="0" applyFont="1" applyBorder="1" applyAlignment="1">
      <alignment horizontal="left" vertical="center" wrapText="1"/>
    </xf>
  </cellXfs>
  <cellStyles count="2">
    <cellStyle name="Currency" xfId="1" builtinId="4"/>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06"/>
  <sheetViews>
    <sheetView tabSelected="1" view="pageLayout" zoomScale="150" zoomScaleNormal="75" zoomScalePageLayoutView="150" workbookViewId="0">
      <selection activeCell="G4" sqref="G4"/>
    </sheetView>
  </sheetViews>
  <sheetFormatPr baseColWidth="10" defaultColWidth="10.6640625" defaultRowHeight="13"/>
  <cols>
    <col min="1" max="1" width="3" style="1" customWidth="1"/>
    <col min="2" max="2" width="7.83203125" style="1" customWidth="1"/>
    <col min="3" max="3" width="7.6640625" style="1" customWidth="1"/>
    <col min="4" max="4" width="10.6640625" style="1"/>
    <col min="5" max="5" width="7.1640625" style="1" bestFit="1" customWidth="1"/>
    <col min="6" max="6" width="22.6640625" style="1" customWidth="1"/>
    <col min="7" max="7" width="10.5" style="1" customWidth="1"/>
    <col min="8" max="8" width="11.5" style="1" customWidth="1"/>
    <col min="9" max="9" width="10.6640625" style="1" customWidth="1"/>
    <col min="10" max="16384" width="10.6640625" style="1"/>
  </cols>
  <sheetData>
    <row r="1" spans="1:9" s="2" customFormat="1" ht="12">
      <c r="A1" s="3" t="s">
        <v>24</v>
      </c>
      <c r="B1" s="4"/>
      <c r="D1" s="3" t="s">
        <v>155</v>
      </c>
      <c r="H1" s="5"/>
    </row>
    <row r="2" spans="1:9" s="2" customFormat="1" ht="12">
      <c r="A2" s="3"/>
      <c r="B2" s="4"/>
      <c r="D2" s="3" t="s">
        <v>156</v>
      </c>
      <c r="H2" s="5"/>
    </row>
    <row r="3" spans="1:9" s="2" customFormat="1" ht="12">
      <c r="A3" s="3"/>
      <c r="B3" s="4"/>
      <c r="D3" s="3" t="s">
        <v>157</v>
      </c>
      <c r="H3" s="5"/>
    </row>
    <row r="4" spans="1:9" s="2" customFormat="1" ht="12">
      <c r="A4" s="3"/>
      <c r="B4" s="4"/>
      <c r="D4" s="3"/>
      <c r="H4" s="5"/>
    </row>
    <row r="5" spans="1:9" s="2" customFormat="1" ht="12">
      <c r="A5" s="3" t="s">
        <v>25</v>
      </c>
      <c r="B5" s="4"/>
      <c r="D5" s="3" t="s">
        <v>158</v>
      </c>
      <c r="H5" s="5"/>
    </row>
    <row r="6" spans="1:9" s="2" customFormat="1" ht="12">
      <c r="A6" s="3"/>
      <c r="B6" s="4"/>
      <c r="D6" s="3"/>
      <c r="H6" s="5"/>
    </row>
    <row r="7" spans="1:9" s="2" customFormat="1" ht="12">
      <c r="A7" s="3" t="s">
        <v>26</v>
      </c>
      <c r="B7" s="4"/>
      <c r="D7" s="3" t="s">
        <v>159</v>
      </c>
      <c r="H7" s="5"/>
    </row>
    <row r="8" spans="1:9" s="2" customFormat="1" ht="12">
      <c r="A8" s="3"/>
      <c r="B8" s="4"/>
      <c r="D8" s="3"/>
      <c r="H8" s="5"/>
    </row>
    <row r="9" spans="1:9" s="2" customFormat="1" ht="12">
      <c r="A9" s="3" t="s">
        <v>23</v>
      </c>
      <c r="B9" s="4"/>
      <c r="D9" s="3" t="s">
        <v>222</v>
      </c>
      <c r="E9" s="3" t="s">
        <v>223</v>
      </c>
      <c r="H9" s="5"/>
    </row>
    <row r="10" spans="1:9" s="2" customFormat="1" ht="12">
      <c r="A10" s="3"/>
      <c r="B10" s="4"/>
      <c r="D10" s="3"/>
      <c r="E10" s="3"/>
      <c r="H10" s="5"/>
    </row>
    <row r="11" spans="1:9" s="2" customFormat="1" ht="12">
      <c r="A11" s="3" t="s">
        <v>8</v>
      </c>
      <c r="B11" s="4"/>
      <c r="D11" s="3" t="s">
        <v>160</v>
      </c>
      <c r="H11" s="5"/>
    </row>
    <row r="12" spans="1:9" s="2" customFormat="1" ht="12">
      <c r="A12" s="49" t="s">
        <v>6</v>
      </c>
      <c r="B12" s="49"/>
      <c r="C12" s="49"/>
      <c r="D12" s="6"/>
      <c r="E12" s="6"/>
      <c r="F12" s="6"/>
      <c r="G12" s="6"/>
      <c r="H12" s="7"/>
      <c r="I12" s="51">
        <f>SUM(I15:I26)</f>
        <v>52440</v>
      </c>
    </row>
    <row r="13" spans="1:9" s="2" customFormat="1" ht="12">
      <c r="A13" s="50"/>
      <c r="B13" s="50"/>
      <c r="C13" s="50"/>
      <c r="D13" s="8"/>
      <c r="E13" s="8"/>
      <c r="F13" s="8"/>
      <c r="G13" s="8"/>
      <c r="H13" s="9"/>
      <c r="I13" s="66"/>
    </row>
    <row r="14" spans="1:9" s="2" customFormat="1" ht="12">
      <c r="A14" s="10"/>
      <c r="B14" s="10" t="s">
        <v>9</v>
      </c>
      <c r="C14" s="11" t="s">
        <v>10</v>
      </c>
      <c r="G14" s="2" t="s">
        <v>29</v>
      </c>
      <c r="H14" s="10"/>
      <c r="I14" s="10"/>
    </row>
    <row r="15" spans="1:9" s="2" customFormat="1" ht="12">
      <c r="A15" s="43" t="s">
        <v>38</v>
      </c>
      <c r="B15" s="12">
        <v>1</v>
      </c>
      <c r="C15" s="36" t="s">
        <v>162</v>
      </c>
      <c r="D15" s="36"/>
      <c r="E15" s="36"/>
      <c r="G15" s="19">
        <v>11300</v>
      </c>
      <c r="H15" s="5"/>
      <c r="I15" s="18">
        <f>G15*B15</f>
        <v>11300</v>
      </c>
    </row>
    <row r="16" spans="1:9" s="2" customFormat="1" ht="12">
      <c r="A16" s="43"/>
      <c r="B16" s="12"/>
      <c r="C16" s="36" t="s">
        <v>161</v>
      </c>
      <c r="D16" s="36"/>
      <c r="E16" s="36"/>
      <c r="G16" s="19"/>
      <c r="H16" s="5"/>
      <c r="I16" s="18"/>
    </row>
    <row r="17" spans="1:9" s="2" customFormat="1" ht="12">
      <c r="A17" s="43"/>
      <c r="B17" s="12"/>
      <c r="C17" s="36" t="s">
        <v>163</v>
      </c>
      <c r="D17" s="36"/>
      <c r="E17" s="36"/>
      <c r="G17" s="19"/>
      <c r="H17" s="5"/>
      <c r="I17" s="18"/>
    </row>
    <row r="18" spans="1:9" s="2" customFormat="1" ht="12">
      <c r="A18" s="43" t="s">
        <v>39</v>
      </c>
      <c r="B18" s="12">
        <v>1</v>
      </c>
      <c r="C18" s="36" t="s">
        <v>162</v>
      </c>
      <c r="D18" s="36"/>
      <c r="E18" s="36"/>
      <c r="G18" s="19">
        <v>11300</v>
      </c>
      <c r="H18" s="5"/>
      <c r="I18" s="18">
        <f>G18*B18</f>
        <v>11300</v>
      </c>
    </row>
    <row r="19" spans="1:9" s="2" customFormat="1" ht="12">
      <c r="A19" s="43"/>
      <c r="B19" s="12"/>
      <c r="C19" s="36" t="s">
        <v>164</v>
      </c>
      <c r="D19" s="36"/>
      <c r="E19" s="36"/>
      <c r="G19" s="19"/>
      <c r="H19" s="5"/>
      <c r="I19" s="18"/>
    </row>
    <row r="20" spans="1:9" s="2" customFormat="1" ht="12">
      <c r="A20" s="43"/>
      <c r="B20" s="12"/>
      <c r="C20" s="36" t="s">
        <v>163</v>
      </c>
      <c r="D20" s="36"/>
      <c r="E20" s="36"/>
      <c r="G20" s="19"/>
      <c r="H20" s="5"/>
      <c r="I20" s="18"/>
    </row>
    <row r="21" spans="1:9" s="2" customFormat="1" ht="12">
      <c r="A21" s="43" t="s">
        <v>40</v>
      </c>
      <c r="B21" s="12">
        <v>1</v>
      </c>
      <c r="C21" s="36" t="s">
        <v>212</v>
      </c>
      <c r="D21" s="36"/>
      <c r="E21" s="36"/>
      <c r="G21" s="19">
        <v>17400</v>
      </c>
      <c r="H21" s="5"/>
      <c r="I21" s="18">
        <f>G21*B21</f>
        <v>17400</v>
      </c>
    </row>
    <row r="22" spans="1:9" s="2" customFormat="1" ht="12">
      <c r="A22" s="43"/>
      <c r="B22" s="12"/>
      <c r="C22" s="36" t="s">
        <v>213</v>
      </c>
      <c r="D22" s="36"/>
      <c r="E22" s="36"/>
      <c r="G22" s="19"/>
      <c r="H22" s="5"/>
      <c r="I22" s="18"/>
    </row>
    <row r="23" spans="1:9" s="2" customFormat="1" ht="12">
      <c r="B23" s="12"/>
      <c r="C23" s="36" t="s">
        <v>214</v>
      </c>
      <c r="D23" s="36"/>
      <c r="E23" s="36"/>
      <c r="G23" s="19"/>
      <c r="H23" s="5"/>
      <c r="I23" s="18"/>
    </row>
    <row r="24" spans="1:9" s="2" customFormat="1" ht="12">
      <c r="A24" s="43" t="s">
        <v>41</v>
      </c>
      <c r="B24" s="12">
        <v>1</v>
      </c>
      <c r="C24" s="36" t="s">
        <v>165</v>
      </c>
      <c r="D24" s="36"/>
      <c r="E24" s="36"/>
      <c r="G24" s="19">
        <v>9980</v>
      </c>
      <c r="H24" s="5"/>
      <c r="I24" s="18">
        <f>G24*B24</f>
        <v>9980</v>
      </c>
    </row>
    <row r="25" spans="1:9" s="2" customFormat="1" ht="12">
      <c r="B25" s="12"/>
      <c r="C25" s="36" t="s">
        <v>166</v>
      </c>
      <c r="D25" s="36"/>
      <c r="E25" s="36"/>
      <c r="G25" s="19"/>
      <c r="H25" s="5"/>
      <c r="I25" s="18"/>
    </row>
    <row r="26" spans="1:9" s="2" customFormat="1" ht="12">
      <c r="A26" s="2" t="s">
        <v>42</v>
      </c>
      <c r="B26" s="12">
        <v>1</v>
      </c>
      <c r="C26" s="36" t="s">
        <v>167</v>
      </c>
      <c r="D26" s="36"/>
      <c r="E26" s="36"/>
      <c r="G26" s="19">
        <v>2460</v>
      </c>
      <c r="H26" s="5"/>
      <c r="I26" s="18">
        <f>G26*B26</f>
        <v>2460</v>
      </c>
    </row>
    <row r="27" spans="1:9" s="2" customFormat="1" ht="12">
      <c r="B27" s="13"/>
      <c r="C27" s="36" t="s">
        <v>168</v>
      </c>
      <c r="D27" s="36"/>
      <c r="E27" s="36"/>
      <c r="G27" s="18"/>
      <c r="H27" s="5"/>
      <c r="I27" s="5"/>
    </row>
    <row r="28" spans="1:9" s="2" customFormat="1" ht="12">
      <c r="B28" s="13"/>
      <c r="C28" s="36"/>
      <c r="D28" s="36"/>
      <c r="E28" s="36"/>
      <c r="G28" s="18"/>
      <c r="H28" s="5"/>
      <c r="I28" s="5"/>
    </row>
    <row r="29" spans="1:9" s="2" customFormat="1" ht="12">
      <c r="A29" s="49" t="s">
        <v>7</v>
      </c>
      <c r="B29" s="71"/>
      <c r="C29" s="71"/>
      <c r="D29" s="71"/>
      <c r="E29" s="72"/>
      <c r="F29" s="6"/>
      <c r="G29" s="15"/>
      <c r="H29" s="7"/>
      <c r="I29" s="67">
        <f>SUM(I32:I37)</f>
        <v>3238</v>
      </c>
    </row>
    <row r="30" spans="1:9" s="2" customFormat="1" ht="12">
      <c r="A30" s="73"/>
      <c r="B30" s="73"/>
      <c r="C30" s="73"/>
      <c r="D30" s="73"/>
      <c r="E30" s="74"/>
      <c r="F30" s="8"/>
      <c r="G30" s="16"/>
      <c r="H30" s="9"/>
      <c r="I30" s="66"/>
    </row>
    <row r="31" spans="1:9" s="2" customFormat="1" ht="12">
      <c r="A31" s="37"/>
      <c r="B31" s="37"/>
      <c r="C31" s="37"/>
      <c r="D31" s="37"/>
      <c r="E31" s="38"/>
      <c r="G31" s="18"/>
      <c r="H31" s="14"/>
      <c r="I31" s="39"/>
    </row>
    <row r="32" spans="1:9" s="2" customFormat="1" ht="12">
      <c r="A32" s="2" t="s">
        <v>38</v>
      </c>
      <c r="B32" s="40">
        <v>1</v>
      </c>
      <c r="C32" s="2" t="s">
        <v>58</v>
      </c>
      <c r="G32" s="18">
        <v>720</v>
      </c>
      <c r="H32" s="5"/>
      <c r="I32" s="41">
        <f t="shared" ref="I32:I37" si="0">G32*B32</f>
        <v>720</v>
      </c>
    </row>
    <row r="33" spans="1:9" s="2" customFormat="1" ht="12">
      <c r="A33" s="2" t="s">
        <v>39</v>
      </c>
      <c r="B33" s="40">
        <v>1</v>
      </c>
      <c r="C33" s="43" t="s">
        <v>59</v>
      </c>
      <c r="G33" s="18">
        <v>139</v>
      </c>
      <c r="H33" s="5"/>
      <c r="I33" s="41">
        <f t="shared" si="0"/>
        <v>139</v>
      </c>
    </row>
    <row r="34" spans="1:9" s="2" customFormat="1" ht="12">
      <c r="A34" s="2" t="s">
        <v>40</v>
      </c>
      <c r="B34" s="40">
        <v>1</v>
      </c>
      <c r="C34" s="2" t="s">
        <v>43</v>
      </c>
      <c r="G34" s="18">
        <v>69</v>
      </c>
      <c r="H34" s="5"/>
      <c r="I34" s="41">
        <f t="shared" si="0"/>
        <v>69</v>
      </c>
    </row>
    <row r="35" spans="1:9" s="2" customFormat="1" ht="12">
      <c r="A35" s="2" t="s">
        <v>41</v>
      </c>
      <c r="B35" s="40">
        <v>3</v>
      </c>
      <c r="C35" s="2" t="s">
        <v>170</v>
      </c>
      <c r="G35" s="18">
        <v>385</v>
      </c>
      <c r="H35" s="5"/>
      <c r="I35" s="41">
        <f t="shared" si="0"/>
        <v>1155</v>
      </c>
    </row>
    <row r="36" spans="1:9" s="2" customFormat="1" ht="12">
      <c r="A36" s="2" t="s">
        <v>42</v>
      </c>
      <c r="B36" s="40">
        <v>2</v>
      </c>
      <c r="C36" s="2" t="s">
        <v>171</v>
      </c>
      <c r="G36" s="18">
        <v>385</v>
      </c>
      <c r="H36" s="5"/>
      <c r="I36" s="41">
        <f t="shared" si="0"/>
        <v>770</v>
      </c>
    </row>
    <row r="37" spans="1:9" s="2" customFormat="1" ht="12">
      <c r="A37" s="2" t="s">
        <v>48</v>
      </c>
      <c r="B37" s="40">
        <v>1</v>
      </c>
      <c r="C37" s="2" t="s">
        <v>172</v>
      </c>
      <c r="G37" s="18">
        <v>385</v>
      </c>
      <c r="H37" s="5"/>
      <c r="I37" s="41">
        <f t="shared" si="0"/>
        <v>385</v>
      </c>
    </row>
    <row r="38" spans="1:9" s="2" customFormat="1" ht="12"/>
    <row r="39" spans="1:9" s="2" customFormat="1" ht="12">
      <c r="A39" s="49" t="s">
        <v>37</v>
      </c>
      <c r="B39" s="49"/>
      <c r="C39" s="49"/>
      <c r="D39" s="49"/>
      <c r="E39" s="49"/>
      <c r="F39" s="49"/>
      <c r="G39" s="49"/>
      <c r="H39" s="49"/>
      <c r="I39" s="51">
        <f>SUM(I42:I66)</f>
        <v>9542</v>
      </c>
    </row>
    <row r="40" spans="1:9" s="2" customFormat="1" ht="12">
      <c r="A40" s="50"/>
      <c r="B40" s="50"/>
      <c r="C40" s="50"/>
      <c r="D40" s="50"/>
      <c r="E40" s="50"/>
      <c r="F40" s="50"/>
      <c r="G40" s="50"/>
      <c r="H40" s="50"/>
      <c r="I40" s="52"/>
    </row>
    <row r="41" spans="1:9" s="2" customFormat="1" ht="12">
      <c r="B41" s="17"/>
      <c r="G41" s="5"/>
      <c r="H41" s="5"/>
    </row>
    <row r="42" spans="1:9" s="2" customFormat="1" ht="12">
      <c r="A42" s="2" t="s">
        <v>38</v>
      </c>
      <c r="B42" s="12">
        <v>1</v>
      </c>
      <c r="C42" s="2" t="s">
        <v>173</v>
      </c>
      <c r="G42" s="5">
        <v>5400</v>
      </c>
      <c r="H42" s="5"/>
      <c r="I42" s="41">
        <f>G42*B42</f>
        <v>5400</v>
      </c>
    </row>
    <row r="43" spans="1:9" s="2" customFormat="1" ht="12">
      <c r="A43" s="2" t="s">
        <v>39</v>
      </c>
      <c r="B43" s="40">
        <v>1</v>
      </c>
      <c r="C43" s="2" t="s">
        <v>66</v>
      </c>
      <c r="G43" s="18">
        <v>88</v>
      </c>
      <c r="H43" s="5"/>
      <c r="I43" s="41">
        <f>G43*B43</f>
        <v>88</v>
      </c>
    </row>
    <row r="44" spans="1:9" s="2" customFormat="1" ht="12">
      <c r="A44" s="2" t="s">
        <v>40</v>
      </c>
      <c r="B44" s="40">
        <v>1</v>
      </c>
      <c r="C44" s="2" t="s">
        <v>67</v>
      </c>
      <c r="G44" s="18">
        <v>88</v>
      </c>
      <c r="H44" s="5"/>
      <c r="I44" s="41">
        <f t="shared" ref="I44:I66" si="1">G44*B44</f>
        <v>88</v>
      </c>
    </row>
    <row r="45" spans="1:9" s="2" customFormat="1" ht="12">
      <c r="A45" s="2" t="s">
        <v>41</v>
      </c>
      <c r="B45" s="40">
        <v>1</v>
      </c>
      <c r="C45" s="2" t="s">
        <v>68</v>
      </c>
      <c r="G45" s="18">
        <v>88</v>
      </c>
      <c r="H45" s="5"/>
      <c r="I45" s="41">
        <f t="shared" si="1"/>
        <v>88</v>
      </c>
    </row>
    <row r="46" spans="1:9" s="2" customFormat="1" ht="12">
      <c r="A46" s="2" t="s">
        <v>42</v>
      </c>
      <c r="B46" s="12">
        <v>2</v>
      </c>
      <c r="C46" s="2" t="s">
        <v>146</v>
      </c>
      <c r="G46" s="18">
        <v>58</v>
      </c>
      <c r="I46" s="41">
        <f t="shared" si="1"/>
        <v>116</v>
      </c>
    </row>
    <row r="47" spans="1:9" s="2" customFormat="1" ht="12">
      <c r="A47" s="2" t="s">
        <v>48</v>
      </c>
      <c r="B47" s="40">
        <v>5</v>
      </c>
      <c r="C47" s="2" t="s">
        <v>69</v>
      </c>
      <c r="G47" s="18">
        <v>98</v>
      </c>
      <c r="H47" s="5"/>
      <c r="I47" s="41">
        <f t="shared" si="1"/>
        <v>490</v>
      </c>
    </row>
    <row r="48" spans="1:9" s="2" customFormat="1" ht="12">
      <c r="A48" s="2" t="s">
        <v>49</v>
      </c>
      <c r="B48" s="12">
        <v>2</v>
      </c>
      <c r="C48" s="2" t="s">
        <v>70</v>
      </c>
      <c r="G48" s="18">
        <v>88</v>
      </c>
      <c r="I48" s="41">
        <f t="shared" si="1"/>
        <v>176</v>
      </c>
    </row>
    <row r="49" spans="1:9" s="2" customFormat="1" ht="12">
      <c r="A49" s="2" t="s">
        <v>50</v>
      </c>
      <c r="B49" s="40">
        <v>1</v>
      </c>
      <c r="C49" s="2" t="s">
        <v>71</v>
      </c>
      <c r="G49" s="18">
        <v>435</v>
      </c>
      <c r="H49" s="5"/>
      <c r="I49" s="41">
        <f t="shared" si="1"/>
        <v>435</v>
      </c>
    </row>
    <row r="50" spans="1:9" s="2" customFormat="1" ht="12">
      <c r="A50" s="2" t="s">
        <v>51</v>
      </c>
      <c r="B50" s="40">
        <v>3</v>
      </c>
      <c r="C50" s="2" t="s">
        <v>72</v>
      </c>
      <c r="G50" s="18">
        <v>58</v>
      </c>
      <c r="H50" s="5"/>
      <c r="I50" s="41">
        <f t="shared" si="1"/>
        <v>174</v>
      </c>
    </row>
    <row r="51" spans="1:9" s="2" customFormat="1" ht="12">
      <c r="A51" s="2" t="s">
        <v>52</v>
      </c>
      <c r="B51" s="40">
        <v>2</v>
      </c>
      <c r="C51" s="2" t="s">
        <v>73</v>
      </c>
      <c r="G51" s="18">
        <v>58</v>
      </c>
      <c r="H51" s="5"/>
      <c r="I51" s="41">
        <f t="shared" si="1"/>
        <v>116</v>
      </c>
    </row>
    <row r="52" spans="1:9" s="2" customFormat="1" ht="12">
      <c r="A52" s="2" t="s">
        <v>53</v>
      </c>
      <c r="B52" s="40">
        <v>6</v>
      </c>
      <c r="C52" s="2" t="s">
        <v>74</v>
      </c>
      <c r="G52" s="18">
        <v>48</v>
      </c>
      <c r="H52" s="5"/>
      <c r="I52" s="41">
        <f t="shared" si="1"/>
        <v>288</v>
      </c>
    </row>
    <row r="53" spans="1:9" s="2" customFormat="1" ht="12">
      <c r="A53" s="2" t="s">
        <v>54</v>
      </c>
      <c r="B53" s="12">
        <v>1</v>
      </c>
      <c r="C53" s="2" t="s">
        <v>75</v>
      </c>
      <c r="G53" s="18">
        <v>88</v>
      </c>
      <c r="H53" s="18"/>
      <c r="I53" s="41">
        <f t="shared" si="1"/>
        <v>88</v>
      </c>
    </row>
    <row r="54" spans="1:9" s="2" customFormat="1" ht="12">
      <c r="A54" s="11" t="s">
        <v>33</v>
      </c>
      <c r="B54" s="10"/>
      <c r="C54" s="20"/>
      <c r="D54" s="12"/>
      <c r="E54" s="29" t="s">
        <v>34</v>
      </c>
      <c r="F54" s="12" t="str">
        <f>D7</f>
        <v>2211AM01S</v>
      </c>
      <c r="G54" s="53" t="str">
        <f>D11</f>
        <v>AM FAIRMOUNT</v>
      </c>
      <c r="H54" s="53"/>
      <c r="I54" s="35" t="s">
        <v>35</v>
      </c>
    </row>
    <row r="55" spans="1:9" s="2" customFormat="1" ht="12">
      <c r="B55" s="12"/>
      <c r="G55" s="18"/>
      <c r="H55" s="18"/>
      <c r="I55" s="41"/>
    </row>
    <row r="56" spans="1:9" s="2" customFormat="1" ht="12">
      <c r="A56" s="49" t="s">
        <v>169</v>
      </c>
      <c r="B56" s="49"/>
      <c r="C56" s="49"/>
      <c r="D56" s="49"/>
      <c r="E56" s="49"/>
      <c r="F56" s="49"/>
      <c r="G56" s="49"/>
      <c r="H56" s="49"/>
      <c r="I56" s="51"/>
    </row>
    <row r="57" spans="1:9" s="2" customFormat="1" ht="12">
      <c r="A57" s="50"/>
      <c r="B57" s="50"/>
      <c r="C57" s="50"/>
      <c r="D57" s="50"/>
      <c r="E57" s="50"/>
      <c r="F57" s="50"/>
      <c r="G57" s="50"/>
      <c r="H57" s="50"/>
      <c r="I57" s="52"/>
    </row>
    <row r="58" spans="1:9" s="2" customFormat="1" ht="12">
      <c r="A58" s="44"/>
      <c r="B58" s="44"/>
      <c r="C58" s="44"/>
      <c r="D58" s="44"/>
      <c r="E58" s="44"/>
      <c r="F58" s="44"/>
      <c r="G58" s="44"/>
      <c r="H58" s="44"/>
      <c r="I58" s="45"/>
    </row>
    <row r="59" spans="1:9" s="2" customFormat="1" ht="12">
      <c r="A59" s="2" t="s">
        <v>55</v>
      </c>
      <c r="B59" s="12">
        <v>2</v>
      </c>
      <c r="C59" s="2" t="s">
        <v>175</v>
      </c>
      <c r="G59" s="18">
        <v>88</v>
      </c>
      <c r="H59" s="18"/>
      <c r="I59" s="41">
        <f>G59*B59</f>
        <v>176</v>
      </c>
    </row>
    <row r="60" spans="1:9" s="2" customFormat="1" ht="12">
      <c r="A60" s="2" t="s">
        <v>56</v>
      </c>
      <c r="B60" s="40">
        <v>1</v>
      </c>
      <c r="C60" s="2" t="s">
        <v>76</v>
      </c>
      <c r="G60" s="18">
        <v>435</v>
      </c>
      <c r="H60" s="5"/>
      <c r="I60" s="41">
        <f>G60*B60</f>
        <v>435</v>
      </c>
    </row>
    <row r="61" spans="1:9" s="2" customFormat="1" ht="12">
      <c r="A61" s="2" t="s">
        <v>62</v>
      </c>
      <c r="B61" s="40">
        <v>1</v>
      </c>
      <c r="C61" s="2" t="s">
        <v>77</v>
      </c>
      <c r="G61" s="18">
        <v>48</v>
      </c>
      <c r="H61" s="5"/>
      <c r="I61" s="41">
        <f t="shared" si="1"/>
        <v>48</v>
      </c>
    </row>
    <row r="62" spans="1:9" s="2" customFormat="1" ht="12">
      <c r="A62" s="2" t="s">
        <v>63</v>
      </c>
      <c r="B62" s="40">
        <v>1</v>
      </c>
      <c r="C62" s="2" t="s">
        <v>78</v>
      </c>
      <c r="G62" s="18">
        <v>88</v>
      </c>
      <c r="H62" s="5"/>
      <c r="I62" s="41">
        <f t="shared" si="1"/>
        <v>88</v>
      </c>
    </row>
    <row r="63" spans="1:9" s="2" customFormat="1" ht="12">
      <c r="A63" s="2" t="s">
        <v>64</v>
      </c>
      <c r="B63" s="12">
        <v>1</v>
      </c>
      <c r="C63" s="2" t="s">
        <v>79</v>
      </c>
      <c r="G63" s="18">
        <v>435</v>
      </c>
      <c r="H63" s="18"/>
      <c r="I63" s="41">
        <f t="shared" si="1"/>
        <v>435</v>
      </c>
    </row>
    <row r="64" spans="1:9" s="2" customFormat="1" ht="12">
      <c r="A64" s="2" t="s">
        <v>65</v>
      </c>
      <c r="B64" s="40">
        <v>1</v>
      </c>
      <c r="C64" s="2" t="s">
        <v>80</v>
      </c>
      <c r="G64" s="18">
        <v>88</v>
      </c>
      <c r="H64" s="5"/>
      <c r="I64" s="41">
        <f t="shared" si="1"/>
        <v>88</v>
      </c>
    </row>
    <row r="65" spans="1:9" s="2" customFormat="1" ht="12">
      <c r="A65" s="2" t="s">
        <v>82</v>
      </c>
      <c r="B65" s="40">
        <v>1</v>
      </c>
      <c r="C65" s="2" t="s">
        <v>81</v>
      </c>
      <c r="G65" s="18">
        <v>435</v>
      </c>
      <c r="H65" s="5"/>
      <c r="I65" s="41">
        <f t="shared" si="1"/>
        <v>435</v>
      </c>
    </row>
    <row r="66" spans="1:9" s="2" customFormat="1" ht="12">
      <c r="A66" s="2" t="s">
        <v>174</v>
      </c>
      <c r="B66" s="40">
        <v>5</v>
      </c>
      <c r="C66" s="2" t="s">
        <v>83</v>
      </c>
      <c r="G66" s="18">
        <v>58</v>
      </c>
      <c r="H66" s="5"/>
      <c r="I66" s="41">
        <f t="shared" si="1"/>
        <v>290</v>
      </c>
    </row>
    <row r="67" spans="1:9" s="2" customFormat="1" ht="12">
      <c r="B67" s="40"/>
      <c r="G67" s="18"/>
      <c r="H67" s="5"/>
      <c r="I67" s="14"/>
    </row>
    <row r="68" spans="1:9" s="2" customFormat="1" ht="12">
      <c r="A68" s="49" t="s">
        <v>84</v>
      </c>
      <c r="B68" s="49"/>
      <c r="C68" s="49"/>
      <c r="D68" s="49"/>
      <c r="E68" s="49"/>
      <c r="F68" s="49"/>
      <c r="G68" s="49"/>
      <c r="H68" s="49"/>
      <c r="I68" s="51">
        <f>SUM(I71:I79)</f>
        <v>2063</v>
      </c>
    </row>
    <row r="69" spans="1:9" s="2" customFormat="1" ht="12">
      <c r="A69" s="50"/>
      <c r="B69" s="50"/>
      <c r="C69" s="50"/>
      <c r="D69" s="50"/>
      <c r="E69" s="50"/>
      <c r="F69" s="50"/>
      <c r="G69" s="50"/>
      <c r="H69" s="50"/>
      <c r="I69" s="52"/>
    </row>
    <row r="70" spans="1:9" s="2" customFormat="1" ht="12">
      <c r="B70" s="17"/>
      <c r="G70" s="5"/>
      <c r="H70" s="5"/>
    </row>
    <row r="71" spans="1:9" s="2" customFormat="1" ht="12">
      <c r="A71" s="2" t="s">
        <v>38</v>
      </c>
      <c r="B71" s="12">
        <v>1</v>
      </c>
      <c r="C71" s="2" t="s">
        <v>85</v>
      </c>
      <c r="G71" s="5">
        <v>78</v>
      </c>
      <c r="H71" s="5"/>
      <c r="I71" s="18">
        <f>G71*B71</f>
        <v>78</v>
      </c>
    </row>
    <row r="72" spans="1:9" s="2" customFormat="1" ht="12">
      <c r="A72" s="2" t="s">
        <v>39</v>
      </c>
      <c r="B72" s="12">
        <v>1</v>
      </c>
      <c r="C72" s="2" t="s">
        <v>90</v>
      </c>
      <c r="G72" s="18">
        <v>58</v>
      </c>
      <c r="H72" s="5"/>
      <c r="I72" s="18">
        <f t="shared" ref="I72:I79" si="2">G72*B72</f>
        <v>58</v>
      </c>
    </row>
    <row r="73" spans="1:9" s="2" customFormat="1" ht="12">
      <c r="A73" s="2" t="s">
        <v>40</v>
      </c>
      <c r="B73" s="40">
        <v>1</v>
      </c>
      <c r="C73" s="2" t="s">
        <v>183</v>
      </c>
      <c r="G73" s="18">
        <v>58</v>
      </c>
      <c r="H73" s="5"/>
      <c r="I73" s="18">
        <f t="shared" si="2"/>
        <v>58</v>
      </c>
    </row>
    <row r="74" spans="1:9" s="2" customFormat="1" ht="12">
      <c r="A74" s="2" t="s">
        <v>41</v>
      </c>
      <c r="B74" s="40">
        <v>1</v>
      </c>
      <c r="C74" s="2" t="s">
        <v>215</v>
      </c>
      <c r="G74" s="18">
        <v>210</v>
      </c>
      <c r="H74" s="5"/>
      <c r="I74" s="18">
        <f t="shared" si="2"/>
        <v>210</v>
      </c>
    </row>
    <row r="75" spans="1:9" s="2" customFormat="1" ht="12">
      <c r="A75" s="2" t="s">
        <v>42</v>
      </c>
      <c r="B75" s="40">
        <v>2</v>
      </c>
      <c r="C75" s="2" t="s">
        <v>86</v>
      </c>
      <c r="G75" s="18">
        <v>245</v>
      </c>
      <c r="H75" s="5"/>
      <c r="I75" s="18">
        <f t="shared" si="2"/>
        <v>490</v>
      </c>
    </row>
    <row r="76" spans="1:9" s="2" customFormat="1" ht="12">
      <c r="A76" s="2" t="s">
        <v>48</v>
      </c>
      <c r="B76" s="40">
        <v>1</v>
      </c>
      <c r="C76" s="43" t="s">
        <v>87</v>
      </c>
      <c r="G76" s="18">
        <v>48</v>
      </c>
      <c r="H76" s="5"/>
      <c r="I76" s="18">
        <f t="shared" si="2"/>
        <v>48</v>
      </c>
    </row>
    <row r="77" spans="1:9" s="2" customFormat="1" ht="12">
      <c r="A77" s="2" t="s">
        <v>49</v>
      </c>
      <c r="B77" s="40">
        <v>1</v>
      </c>
      <c r="C77" s="43" t="s">
        <v>88</v>
      </c>
      <c r="G77" s="18">
        <v>88</v>
      </c>
      <c r="H77" s="5"/>
      <c r="I77" s="18">
        <f t="shared" si="2"/>
        <v>88</v>
      </c>
    </row>
    <row r="78" spans="1:9" s="2" customFormat="1" ht="12">
      <c r="A78" s="2" t="s">
        <v>50</v>
      </c>
      <c r="B78" s="40">
        <v>1</v>
      </c>
      <c r="C78" s="43" t="s">
        <v>89</v>
      </c>
      <c r="G78" s="18">
        <v>48</v>
      </c>
      <c r="H78" s="5"/>
      <c r="I78" s="18">
        <f t="shared" si="2"/>
        <v>48</v>
      </c>
    </row>
    <row r="79" spans="1:9" s="2" customFormat="1" ht="12">
      <c r="A79" s="2" t="s">
        <v>51</v>
      </c>
      <c r="B79" s="40">
        <v>1</v>
      </c>
      <c r="C79" s="43" t="s">
        <v>176</v>
      </c>
      <c r="G79" s="18">
        <v>985</v>
      </c>
      <c r="H79" s="5"/>
      <c r="I79" s="18">
        <f t="shared" si="2"/>
        <v>985</v>
      </c>
    </row>
    <row r="80" spans="1:9" s="2" customFormat="1" ht="12">
      <c r="B80" s="40"/>
      <c r="C80" s="43"/>
      <c r="G80" s="18"/>
      <c r="H80" s="5"/>
      <c r="I80" s="18"/>
    </row>
    <row r="81" spans="1:9" s="2" customFormat="1" ht="12">
      <c r="A81" s="49" t="s">
        <v>93</v>
      </c>
      <c r="B81" s="49"/>
      <c r="C81" s="49"/>
      <c r="D81" s="49"/>
      <c r="E81" s="49"/>
      <c r="F81" s="49"/>
      <c r="G81" s="49"/>
      <c r="H81" s="49"/>
      <c r="I81" s="51">
        <f>SUM(I84:I92)</f>
        <v>6495</v>
      </c>
    </row>
    <row r="82" spans="1:9" s="2" customFormat="1" ht="12">
      <c r="A82" s="50"/>
      <c r="B82" s="50"/>
      <c r="C82" s="50"/>
      <c r="D82" s="50"/>
      <c r="E82" s="50"/>
      <c r="F82" s="50"/>
      <c r="G82" s="50"/>
      <c r="H82" s="50"/>
      <c r="I82" s="52"/>
    </row>
    <row r="83" spans="1:9" s="2" customFormat="1" ht="12">
      <c r="A83" s="44"/>
      <c r="B83" s="44"/>
      <c r="C83" s="44"/>
      <c r="D83" s="44"/>
      <c r="E83" s="44"/>
      <c r="F83" s="44"/>
      <c r="G83" s="44"/>
      <c r="H83" s="44"/>
      <c r="I83" s="45"/>
    </row>
    <row r="84" spans="1:9" s="2" customFormat="1" ht="12">
      <c r="A84" s="2" t="s">
        <v>38</v>
      </c>
      <c r="B84" s="10">
        <v>1</v>
      </c>
      <c r="C84" s="11" t="s">
        <v>177</v>
      </c>
      <c r="D84" s="11"/>
      <c r="E84" s="44"/>
      <c r="F84" s="44"/>
      <c r="G84" s="47">
        <v>335</v>
      </c>
      <c r="H84" s="44"/>
      <c r="I84" s="46">
        <f>G84*B84</f>
        <v>335</v>
      </c>
    </row>
    <row r="85" spans="1:9" s="2" customFormat="1" ht="12">
      <c r="A85" s="2" t="s">
        <v>39</v>
      </c>
      <c r="B85" s="10">
        <v>1</v>
      </c>
      <c r="C85" s="11" t="s">
        <v>216</v>
      </c>
      <c r="D85" s="11"/>
      <c r="E85" s="44"/>
      <c r="F85" s="44"/>
      <c r="G85" s="47">
        <v>24</v>
      </c>
      <c r="H85" s="44"/>
      <c r="I85" s="46">
        <f t="shared" ref="I85:I92" si="3">G85*B85</f>
        <v>24</v>
      </c>
    </row>
    <row r="86" spans="1:9" s="2" customFormat="1" ht="12">
      <c r="A86" s="2" t="s">
        <v>40</v>
      </c>
      <c r="B86" s="10">
        <v>1</v>
      </c>
      <c r="C86" s="11" t="s">
        <v>94</v>
      </c>
      <c r="D86" s="11"/>
      <c r="E86" s="44"/>
      <c r="F86" s="44"/>
      <c r="G86" s="47">
        <v>58</v>
      </c>
      <c r="H86" s="44"/>
      <c r="I86" s="46">
        <f t="shared" si="3"/>
        <v>58</v>
      </c>
    </row>
    <row r="87" spans="1:9" s="2" customFormat="1" ht="12">
      <c r="A87" s="2" t="s">
        <v>41</v>
      </c>
      <c r="B87" s="10">
        <v>1</v>
      </c>
      <c r="C87" s="11" t="s">
        <v>95</v>
      </c>
      <c r="D87" s="11"/>
      <c r="E87" s="44"/>
      <c r="F87" s="44"/>
      <c r="G87" s="47">
        <v>58</v>
      </c>
      <c r="H87" s="44"/>
      <c r="I87" s="46">
        <f t="shared" si="3"/>
        <v>58</v>
      </c>
    </row>
    <row r="88" spans="1:9" s="2" customFormat="1" ht="12">
      <c r="A88" s="2" t="s">
        <v>42</v>
      </c>
      <c r="B88" s="10">
        <v>1</v>
      </c>
      <c r="C88" s="11" t="s">
        <v>96</v>
      </c>
      <c r="D88" s="11"/>
      <c r="E88" s="44"/>
      <c r="F88" s="44"/>
      <c r="G88" s="47">
        <v>235</v>
      </c>
      <c r="H88" s="44"/>
      <c r="I88" s="46">
        <f t="shared" si="3"/>
        <v>235</v>
      </c>
    </row>
    <row r="89" spans="1:9" s="2" customFormat="1" ht="12">
      <c r="A89" s="2" t="s">
        <v>48</v>
      </c>
      <c r="B89" s="40">
        <v>2</v>
      </c>
      <c r="C89" s="43" t="s">
        <v>97</v>
      </c>
      <c r="G89" s="18">
        <v>385</v>
      </c>
      <c r="H89" s="5"/>
      <c r="I89" s="46">
        <f t="shared" si="3"/>
        <v>770</v>
      </c>
    </row>
    <row r="90" spans="1:9" s="2" customFormat="1" ht="12">
      <c r="A90" s="2" t="s">
        <v>49</v>
      </c>
      <c r="B90" s="40">
        <v>1</v>
      </c>
      <c r="C90" s="43" t="s">
        <v>179</v>
      </c>
      <c r="G90" s="18">
        <v>110</v>
      </c>
      <c r="H90" s="5"/>
      <c r="I90" s="46">
        <f t="shared" si="3"/>
        <v>110</v>
      </c>
    </row>
    <row r="91" spans="1:9" s="2" customFormat="1" ht="12">
      <c r="A91" s="2" t="s">
        <v>50</v>
      </c>
      <c r="B91" s="40">
        <v>1</v>
      </c>
      <c r="C91" s="43" t="s">
        <v>178</v>
      </c>
      <c r="G91" s="18">
        <v>985</v>
      </c>
      <c r="H91" s="5"/>
      <c r="I91" s="46">
        <f t="shared" si="3"/>
        <v>985</v>
      </c>
    </row>
    <row r="92" spans="1:9" s="2" customFormat="1" ht="12">
      <c r="A92" s="2" t="s">
        <v>51</v>
      </c>
      <c r="B92" s="40">
        <v>40</v>
      </c>
      <c r="C92" s="43" t="s">
        <v>180</v>
      </c>
      <c r="G92" s="18">
        <v>98</v>
      </c>
      <c r="H92" s="5"/>
      <c r="I92" s="46">
        <f t="shared" si="3"/>
        <v>3920</v>
      </c>
    </row>
    <row r="93" spans="1:9" s="2" customFormat="1" ht="12">
      <c r="B93" s="40"/>
      <c r="C93" s="43"/>
      <c r="G93" s="18"/>
      <c r="H93" s="5"/>
      <c r="I93" s="46"/>
    </row>
    <row r="94" spans="1:9" s="2" customFormat="1" ht="12">
      <c r="A94" s="49" t="s">
        <v>98</v>
      </c>
      <c r="B94" s="49"/>
      <c r="C94" s="49"/>
      <c r="D94" s="49"/>
      <c r="E94" s="49"/>
      <c r="F94" s="49"/>
      <c r="G94" s="49"/>
      <c r="H94" s="49"/>
      <c r="I94" s="51">
        <f>SUM(I97:I103)</f>
        <v>1194</v>
      </c>
    </row>
    <row r="95" spans="1:9" s="2" customFormat="1" ht="12">
      <c r="A95" s="50"/>
      <c r="B95" s="50"/>
      <c r="C95" s="50"/>
      <c r="D95" s="50"/>
      <c r="E95" s="50"/>
      <c r="F95" s="50"/>
      <c r="G95" s="50"/>
      <c r="H95" s="50"/>
      <c r="I95" s="52"/>
    </row>
    <row r="96" spans="1:9" s="2" customFormat="1" ht="12">
      <c r="A96" s="44"/>
      <c r="B96" s="10"/>
      <c r="C96" s="11"/>
      <c r="D96" s="11"/>
      <c r="E96" s="44"/>
      <c r="F96" s="44"/>
      <c r="G96" s="47"/>
      <c r="H96" s="44"/>
      <c r="I96" s="46"/>
    </row>
    <row r="97" spans="1:9" s="2" customFormat="1" ht="12">
      <c r="A97" s="2" t="s">
        <v>38</v>
      </c>
      <c r="B97" s="12">
        <v>1</v>
      </c>
      <c r="C97" s="2" t="s">
        <v>184</v>
      </c>
      <c r="G97" s="18">
        <v>78</v>
      </c>
      <c r="I97" s="18">
        <f>G97*B97</f>
        <v>78</v>
      </c>
    </row>
    <row r="98" spans="1:9" s="2" customFormat="1" ht="12">
      <c r="A98" s="2" t="s">
        <v>39</v>
      </c>
      <c r="B98" s="12">
        <v>1</v>
      </c>
      <c r="C98" s="2" t="s">
        <v>215</v>
      </c>
      <c r="G98" s="18">
        <v>210</v>
      </c>
      <c r="I98" s="18">
        <f>G98*B98</f>
        <v>210</v>
      </c>
    </row>
    <row r="99" spans="1:9" s="2" customFormat="1" ht="12">
      <c r="A99" s="2" t="s">
        <v>40</v>
      </c>
      <c r="B99" s="10">
        <v>2</v>
      </c>
      <c r="C99" s="11" t="s">
        <v>99</v>
      </c>
      <c r="D99" s="11"/>
      <c r="E99" s="44"/>
      <c r="F99" s="44"/>
      <c r="G99" s="47">
        <v>68</v>
      </c>
      <c r="H99" s="44"/>
      <c r="I99" s="46">
        <f>G99*B99</f>
        <v>136</v>
      </c>
    </row>
    <row r="100" spans="1:9" s="2" customFormat="1" ht="12">
      <c r="A100" s="2" t="s">
        <v>41</v>
      </c>
      <c r="B100" s="10">
        <v>2</v>
      </c>
      <c r="C100" s="11" t="s">
        <v>86</v>
      </c>
      <c r="D100" s="11"/>
      <c r="E100" s="44"/>
      <c r="F100" s="44"/>
      <c r="G100" s="47">
        <v>245</v>
      </c>
      <c r="H100" s="44"/>
      <c r="I100" s="46">
        <f t="shared" ref="I100:I103" si="4">G100*B100</f>
        <v>490</v>
      </c>
    </row>
    <row r="101" spans="1:9" s="2" customFormat="1" ht="12">
      <c r="A101" s="2" t="s">
        <v>42</v>
      </c>
      <c r="B101" s="40">
        <v>3</v>
      </c>
      <c r="C101" s="43" t="s">
        <v>100</v>
      </c>
      <c r="G101" s="18">
        <v>58</v>
      </c>
      <c r="H101" s="5"/>
      <c r="I101" s="46">
        <f t="shared" si="4"/>
        <v>174</v>
      </c>
    </row>
    <row r="102" spans="1:9" s="2" customFormat="1" ht="12">
      <c r="A102" s="2" t="s">
        <v>48</v>
      </c>
      <c r="B102" s="40">
        <v>1</v>
      </c>
      <c r="C102" s="43" t="s">
        <v>87</v>
      </c>
      <c r="G102" s="18">
        <v>48</v>
      </c>
      <c r="H102" s="5"/>
      <c r="I102" s="46">
        <f t="shared" si="4"/>
        <v>48</v>
      </c>
    </row>
    <row r="103" spans="1:9" s="2" customFormat="1" ht="12">
      <c r="A103" s="2" t="s">
        <v>49</v>
      </c>
      <c r="B103" s="40">
        <v>1</v>
      </c>
      <c r="C103" s="43" t="s">
        <v>101</v>
      </c>
      <c r="G103" s="18">
        <v>58</v>
      </c>
      <c r="H103" s="5"/>
      <c r="I103" s="46">
        <f t="shared" si="4"/>
        <v>58</v>
      </c>
    </row>
    <row r="104" spans="1:9" s="2" customFormat="1" ht="12">
      <c r="B104" s="40"/>
      <c r="C104" s="43"/>
      <c r="G104" s="18"/>
      <c r="H104" s="5"/>
      <c r="I104" s="46"/>
    </row>
    <row r="105" spans="1:9" s="2" customFormat="1" ht="12">
      <c r="B105" s="40"/>
      <c r="C105" s="43"/>
      <c r="G105" s="18"/>
      <c r="H105" s="5"/>
      <c r="I105" s="46"/>
    </row>
    <row r="106" spans="1:9" s="2" customFormat="1" ht="12">
      <c r="B106" s="40"/>
      <c r="C106" s="43"/>
      <c r="G106" s="18"/>
      <c r="H106" s="5"/>
      <c r="I106" s="46"/>
    </row>
    <row r="107" spans="1:9" s="2" customFormat="1" ht="12">
      <c r="A107" s="11" t="s">
        <v>33</v>
      </c>
      <c r="B107" s="10"/>
      <c r="C107" s="20"/>
      <c r="D107" s="12"/>
      <c r="E107" s="29" t="s">
        <v>34</v>
      </c>
      <c r="F107" s="12" t="str">
        <f>D7</f>
        <v>2211AM01S</v>
      </c>
      <c r="G107" s="53" t="str">
        <f>D11</f>
        <v>AM FAIRMOUNT</v>
      </c>
      <c r="H107" s="53"/>
      <c r="I107" s="35" t="s">
        <v>61</v>
      </c>
    </row>
    <row r="108" spans="1:9" s="2" customFormat="1" ht="12"/>
    <row r="109" spans="1:9" s="2" customFormat="1" ht="12">
      <c r="A109" s="49" t="s">
        <v>102</v>
      </c>
      <c r="B109" s="49"/>
      <c r="C109" s="49"/>
      <c r="D109" s="49"/>
      <c r="E109" s="49"/>
      <c r="F109" s="49"/>
      <c r="G109" s="49"/>
      <c r="H109" s="49"/>
      <c r="I109" s="51">
        <f>SUM(I112:I119)</f>
        <v>1830</v>
      </c>
    </row>
    <row r="110" spans="1:9" s="2" customFormat="1" ht="12">
      <c r="A110" s="50"/>
      <c r="B110" s="50"/>
      <c r="C110" s="50"/>
      <c r="D110" s="50"/>
      <c r="E110" s="50"/>
      <c r="F110" s="50"/>
      <c r="G110" s="50"/>
      <c r="H110" s="50"/>
      <c r="I110" s="52"/>
    </row>
    <row r="111" spans="1:9" s="2" customFormat="1" ht="12">
      <c r="A111" s="44"/>
      <c r="B111" s="10"/>
      <c r="C111" s="11"/>
      <c r="D111" s="11"/>
      <c r="E111" s="44"/>
      <c r="F111" s="44"/>
      <c r="G111" s="47"/>
      <c r="H111" s="44"/>
      <c r="I111" s="46"/>
    </row>
    <row r="112" spans="1:9" s="2" customFormat="1" ht="12">
      <c r="A112" s="2" t="s">
        <v>38</v>
      </c>
      <c r="B112" s="12">
        <v>2</v>
      </c>
      <c r="C112" s="2" t="s">
        <v>184</v>
      </c>
      <c r="G112" s="18">
        <v>78</v>
      </c>
      <c r="I112" s="18">
        <f>G112*B112</f>
        <v>156</v>
      </c>
    </row>
    <row r="113" spans="1:9" s="2" customFormat="1" ht="12">
      <c r="A113" s="2" t="s">
        <v>39</v>
      </c>
      <c r="B113" s="12">
        <v>2</v>
      </c>
      <c r="C113" s="2" t="s">
        <v>215</v>
      </c>
      <c r="G113" s="18">
        <v>210</v>
      </c>
      <c r="I113" s="18">
        <f>G113*B113</f>
        <v>420</v>
      </c>
    </row>
    <row r="114" spans="1:9" s="2" customFormat="1" ht="12">
      <c r="A114" s="2" t="s">
        <v>40</v>
      </c>
      <c r="B114" s="10">
        <v>2</v>
      </c>
      <c r="C114" s="11" t="s">
        <v>99</v>
      </c>
      <c r="D114" s="11"/>
      <c r="E114" s="44"/>
      <c r="F114" s="44"/>
      <c r="G114" s="47">
        <v>68</v>
      </c>
      <c r="H114" s="44"/>
      <c r="I114" s="46">
        <f>G114*B114</f>
        <v>136</v>
      </c>
    </row>
    <row r="115" spans="1:9" s="2" customFormat="1" ht="12">
      <c r="A115" s="2" t="s">
        <v>41</v>
      </c>
      <c r="B115" s="10">
        <v>2</v>
      </c>
      <c r="C115" s="11" t="s">
        <v>86</v>
      </c>
      <c r="D115" s="11"/>
      <c r="E115" s="44"/>
      <c r="F115" s="44"/>
      <c r="G115" s="47">
        <v>245</v>
      </c>
      <c r="H115" s="44"/>
      <c r="I115" s="46">
        <f t="shared" ref="I115:I119" si="5">G115*B115</f>
        <v>490</v>
      </c>
    </row>
    <row r="116" spans="1:9" s="2" customFormat="1" ht="12">
      <c r="A116" s="2" t="s">
        <v>42</v>
      </c>
      <c r="B116" s="40">
        <v>4</v>
      </c>
      <c r="C116" s="43" t="s">
        <v>100</v>
      </c>
      <c r="G116" s="18">
        <v>58</v>
      </c>
      <c r="H116" s="5"/>
      <c r="I116" s="46">
        <f t="shared" si="5"/>
        <v>232</v>
      </c>
    </row>
    <row r="117" spans="1:9" s="2" customFormat="1" ht="12">
      <c r="A117" s="2" t="s">
        <v>48</v>
      </c>
      <c r="B117" s="40">
        <v>1</v>
      </c>
      <c r="C117" s="43" t="s">
        <v>87</v>
      </c>
      <c r="G117" s="18">
        <v>48</v>
      </c>
      <c r="H117" s="5"/>
      <c r="I117" s="46">
        <f t="shared" si="5"/>
        <v>48</v>
      </c>
    </row>
    <row r="118" spans="1:9" s="2" customFormat="1" ht="12">
      <c r="A118" s="2" t="s">
        <v>49</v>
      </c>
      <c r="B118" s="40">
        <v>5</v>
      </c>
      <c r="C118" s="43" t="s">
        <v>103</v>
      </c>
      <c r="G118" s="18">
        <v>58</v>
      </c>
      <c r="H118" s="5"/>
      <c r="I118" s="46">
        <f t="shared" si="5"/>
        <v>290</v>
      </c>
    </row>
    <row r="119" spans="1:9" s="2" customFormat="1" ht="12">
      <c r="A119" s="2" t="s">
        <v>50</v>
      </c>
      <c r="B119" s="40">
        <v>1</v>
      </c>
      <c r="C119" s="43" t="s">
        <v>104</v>
      </c>
      <c r="G119" s="18">
        <v>58</v>
      </c>
      <c r="H119" s="5"/>
      <c r="I119" s="46">
        <f t="shared" si="5"/>
        <v>58</v>
      </c>
    </row>
    <row r="120" spans="1:9" s="2" customFormat="1" ht="12">
      <c r="B120" s="40"/>
      <c r="C120" s="43"/>
      <c r="G120" s="18"/>
      <c r="H120" s="5"/>
      <c r="I120" s="46"/>
    </row>
    <row r="121" spans="1:9" s="2" customFormat="1" ht="12">
      <c r="A121" s="49" t="s">
        <v>105</v>
      </c>
      <c r="B121" s="49"/>
      <c r="C121" s="49"/>
      <c r="D121" s="49"/>
      <c r="E121" s="49"/>
      <c r="F121" s="49"/>
      <c r="G121" s="49"/>
      <c r="H121" s="49"/>
      <c r="I121" s="51">
        <f>SUM(I124:I131)</f>
        <v>1830</v>
      </c>
    </row>
    <row r="122" spans="1:9" s="2" customFormat="1" ht="12">
      <c r="A122" s="50"/>
      <c r="B122" s="50"/>
      <c r="C122" s="50"/>
      <c r="D122" s="50"/>
      <c r="E122" s="50"/>
      <c r="F122" s="50"/>
      <c r="G122" s="50"/>
      <c r="H122" s="50"/>
      <c r="I122" s="52"/>
    </row>
    <row r="123" spans="1:9" s="2" customFormat="1" ht="12">
      <c r="A123" s="44"/>
      <c r="B123" s="10"/>
      <c r="C123" s="11"/>
      <c r="D123" s="11"/>
      <c r="E123" s="44"/>
      <c r="F123" s="44"/>
      <c r="G123" s="47"/>
      <c r="H123" s="44"/>
      <c r="I123" s="46"/>
    </row>
    <row r="124" spans="1:9" s="2" customFormat="1" ht="12">
      <c r="A124" s="2" t="s">
        <v>38</v>
      </c>
      <c r="B124" s="12">
        <v>2</v>
      </c>
      <c r="C124" s="2" t="s">
        <v>184</v>
      </c>
      <c r="G124" s="18">
        <v>78</v>
      </c>
      <c r="I124" s="18">
        <f>G124*B124</f>
        <v>156</v>
      </c>
    </row>
    <row r="125" spans="1:9" s="2" customFormat="1" ht="12">
      <c r="A125" s="2" t="s">
        <v>39</v>
      </c>
      <c r="B125" s="12">
        <v>2</v>
      </c>
      <c r="C125" s="2" t="s">
        <v>215</v>
      </c>
      <c r="G125" s="18">
        <v>210</v>
      </c>
      <c r="I125" s="18">
        <f>G125*B125</f>
        <v>420</v>
      </c>
    </row>
    <row r="126" spans="1:9" s="2" customFormat="1" ht="12">
      <c r="A126" s="2" t="s">
        <v>40</v>
      </c>
      <c r="B126" s="10">
        <v>2</v>
      </c>
      <c r="C126" s="11" t="s">
        <v>99</v>
      </c>
      <c r="D126" s="11"/>
      <c r="E126" s="44"/>
      <c r="F126" s="44"/>
      <c r="G126" s="47">
        <v>68</v>
      </c>
      <c r="H126" s="44"/>
      <c r="I126" s="46">
        <f>G126*B126</f>
        <v>136</v>
      </c>
    </row>
    <row r="127" spans="1:9" s="2" customFormat="1" ht="12">
      <c r="A127" s="2" t="s">
        <v>41</v>
      </c>
      <c r="B127" s="10">
        <v>2</v>
      </c>
      <c r="C127" s="11" t="s">
        <v>86</v>
      </c>
      <c r="D127" s="11"/>
      <c r="E127" s="44"/>
      <c r="F127" s="44"/>
      <c r="G127" s="47">
        <v>245</v>
      </c>
      <c r="H127" s="44"/>
      <c r="I127" s="46">
        <f t="shared" ref="I127:I131" si="6">G127*B127</f>
        <v>490</v>
      </c>
    </row>
    <row r="128" spans="1:9" s="2" customFormat="1" ht="12">
      <c r="A128" s="2" t="s">
        <v>42</v>
      </c>
      <c r="B128" s="40">
        <v>4</v>
      </c>
      <c r="C128" s="43" t="s">
        <v>100</v>
      </c>
      <c r="G128" s="18">
        <v>58</v>
      </c>
      <c r="H128" s="5"/>
      <c r="I128" s="46">
        <f t="shared" si="6"/>
        <v>232</v>
      </c>
    </row>
    <row r="129" spans="1:9" s="2" customFormat="1" ht="12">
      <c r="A129" s="2" t="s">
        <v>48</v>
      </c>
      <c r="B129" s="40">
        <v>1</v>
      </c>
      <c r="C129" s="43" t="s">
        <v>87</v>
      </c>
      <c r="G129" s="18">
        <v>48</v>
      </c>
      <c r="H129" s="5"/>
      <c r="I129" s="46">
        <f t="shared" si="6"/>
        <v>48</v>
      </c>
    </row>
    <row r="130" spans="1:9" s="2" customFormat="1" ht="12">
      <c r="A130" s="2" t="s">
        <v>49</v>
      </c>
      <c r="B130" s="40">
        <v>5</v>
      </c>
      <c r="C130" s="43" t="s">
        <v>103</v>
      </c>
      <c r="G130" s="18">
        <v>58</v>
      </c>
      <c r="H130" s="5"/>
      <c r="I130" s="46">
        <f t="shared" si="6"/>
        <v>290</v>
      </c>
    </row>
    <row r="131" spans="1:9" s="2" customFormat="1" ht="12">
      <c r="A131" s="2" t="s">
        <v>50</v>
      </c>
      <c r="B131" s="40">
        <v>1</v>
      </c>
      <c r="C131" s="43" t="s">
        <v>104</v>
      </c>
      <c r="G131" s="18">
        <v>58</v>
      </c>
      <c r="H131" s="5"/>
      <c r="I131" s="46">
        <f t="shared" si="6"/>
        <v>58</v>
      </c>
    </row>
    <row r="132" spans="1:9" s="2" customFormat="1" ht="12">
      <c r="B132" s="40"/>
      <c r="C132" s="43"/>
      <c r="G132" s="18"/>
      <c r="H132" s="5"/>
      <c r="I132" s="46"/>
    </row>
    <row r="133" spans="1:9" s="2" customFormat="1" ht="12">
      <c r="A133" s="49" t="s">
        <v>106</v>
      </c>
      <c r="B133" s="49"/>
      <c r="C133" s="49"/>
      <c r="D133" s="49"/>
      <c r="E133" s="49"/>
      <c r="F133" s="49"/>
      <c r="G133" s="49"/>
      <c r="H133" s="49"/>
      <c r="I133" s="51">
        <f>SUM(I136:I142)</f>
        <v>1540</v>
      </c>
    </row>
    <row r="134" spans="1:9" s="2" customFormat="1" ht="12">
      <c r="A134" s="50"/>
      <c r="B134" s="50"/>
      <c r="C134" s="50"/>
      <c r="D134" s="50"/>
      <c r="E134" s="50"/>
      <c r="F134" s="50"/>
      <c r="G134" s="50"/>
      <c r="H134" s="50"/>
      <c r="I134" s="52"/>
    </row>
    <row r="135" spans="1:9" s="2" customFormat="1" ht="12">
      <c r="A135" s="44"/>
      <c r="B135" s="10"/>
      <c r="C135" s="11"/>
      <c r="D135" s="11"/>
      <c r="E135" s="44"/>
      <c r="F135" s="44"/>
      <c r="G135" s="47"/>
      <c r="H135" s="44"/>
      <c r="I135" s="46"/>
    </row>
    <row r="136" spans="1:9" s="2" customFormat="1" ht="12">
      <c r="A136" s="2" t="s">
        <v>38</v>
      </c>
      <c r="B136" s="12">
        <v>2</v>
      </c>
      <c r="C136" s="2" t="s">
        <v>184</v>
      </c>
      <c r="G136" s="18">
        <v>78</v>
      </c>
      <c r="I136" s="18">
        <f>G136*B136</f>
        <v>156</v>
      </c>
    </row>
    <row r="137" spans="1:9" s="2" customFormat="1" ht="12">
      <c r="A137" s="2" t="s">
        <v>39</v>
      </c>
      <c r="B137" s="12">
        <v>2</v>
      </c>
      <c r="C137" s="2" t="s">
        <v>215</v>
      </c>
      <c r="G137" s="18">
        <v>210</v>
      </c>
      <c r="I137" s="18">
        <f>G137*B137</f>
        <v>420</v>
      </c>
    </row>
    <row r="138" spans="1:9" s="2" customFormat="1" ht="12">
      <c r="A138" s="2" t="s">
        <v>40</v>
      </c>
      <c r="B138" s="10">
        <v>2</v>
      </c>
      <c r="C138" s="11" t="s">
        <v>99</v>
      </c>
      <c r="D138" s="11"/>
      <c r="E138" s="44"/>
      <c r="F138" s="44"/>
      <c r="G138" s="47">
        <v>68</v>
      </c>
      <c r="H138" s="44"/>
      <c r="I138" s="46">
        <f>G138*B138</f>
        <v>136</v>
      </c>
    </row>
    <row r="139" spans="1:9" s="2" customFormat="1" ht="12">
      <c r="A139" s="2" t="s">
        <v>41</v>
      </c>
      <c r="B139" s="10">
        <v>2</v>
      </c>
      <c r="C139" s="11" t="s">
        <v>86</v>
      </c>
      <c r="D139" s="11"/>
      <c r="E139" s="44"/>
      <c r="F139" s="44"/>
      <c r="G139" s="47">
        <v>245</v>
      </c>
      <c r="H139" s="44"/>
      <c r="I139" s="46">
        <f t="shared" ref="I139:I141" si="7">G139*B139</f>
        <v>490</v>
      </c>
    </row>
    <row r="140" spans="1:9" s="2" customFormat="1" ht="12">
      <c r="A140" s="2" t="s">
        <v>42</v>
      </c>
      <c r="B140" s="40">
        <v>4</v>
      </c>
      <c r="C140" s="43" t="s">
        <v>100</v>
      </c>
      <c r="G140" s="18">
        <v>58</v>
      </c>
      <c r="H140" s="5"/>
      <c r="I140" s="46">
        <f t="shared" si="7"/>
        <v>232</v>
      </c>
    </row>
    <row r="141" spans="1:9" s="2" customFormat="1" ht="12">
      <c r="A141" s="2" t="s">
        <v>48</v>
      </c>
      <c r="B141" s="40">
        <v>1</v>
      </c>
      <c r="C141" s="43" t="s">
        <v>87</v>
      </c>
      <c r="G141" s="18">
        <v>48</v>
      </c>
      <c r="H141" s="5"/>
      <c r="I141" s="46">
        <f t="shared" si="7"/>
        <v>48</v>
      </c>
    </row>
    <row r="142" spans="1:9" s="2" customFormat="1" ht="12">
      <c r="A142" s="2" t="s">
        <v>49</v>
      </c>
      <c r="B142" s="40">
        <v>1</v>
      </c>
      <c r="C142" s="43" t="s">
        <v>104</v>
      </c>
      <c r="G142" s="18">
        <v>58</v>
      </c>
      <c r="H142" s="5"/>
      <c r="I142" s="46">
        <f>G142*B142</f>
        <v>58</v>
      </c>
    </row>
    <row r="143" spans="1:9" s="2" customFormat="1" ht="12"/>
    <row r="144" spans="1:9" s="2" customFormat="1" ht="12">
      <c r="A144" s="49" t="s">
        <v>107</v>
      </c>
      <c r="B144" s="49"/>
      <c r="C144" s="49"/>
      <c r="D144" s="49"/>
      <c r="E144" s="49"/>
      <c r="F144" s="49"/>
      <c r="G144" s="49"/>
      <c r="H144" s="49"/>
      <c r="I144" s="51">
        <f>SUM(I147:I153)</f>
        <v>1540</v>
      </c>
    </row>
    <row r="145" spans="1:9" s="2" customFormat="1" ht="12">
      <c r="A145" s="50"/>
      <c r="B145" s="50"/>
      <c r="C145" s="50"/>
      <c r="D145" s="50"/>
      <c r="E145" s="50"/>
      <c r="F145" s="50"/>
      <c r="G145" s="50"/>
      <c r="H145" s="50"/>
      <c r="I145" s="52"/>
    </row>
    <row r="146" spans="1:9" s="2" customFormat="1" ht="12">
      <c r="A146" s="44"/>
      <c r="B146" s="10"/>
      <c r="C146" s="11"/>
      <c r="D146" s="11"/>
      <c r="E146" s="44"/>
      <c r="F146" s="44"/>
      <c r="G146" s="47"/>
      <c r="H146" s="44"/>
      <c r="I146" s="46"/>
    </row>
    <row r="147" spans="1:9" s="2" customFormat="1" ht="12">
      <c r="A147" s="2" t="s">
        <v>38</v>
      </c>
      <c r="B147" s="12">
        <v>2</v>
      </c>
      <c r="C147" s="2" t="s">
        <v>184</v>
      </c>
      <c r="G147" s="18">
        <v>78</v>
      </c>
      <c r="I147" s="18">
        <f>G147*B147</f>
        <v>156</v>
      </c>
    </row>
    <row r="148" spans="1:9" s="2" customFormat="1" ht="12">
      <c r="A148" s="2" t="s">
        <v>39</v>
      </c>
      <c r="B148" s="12">
        <v>2</v>
      </c>
      <c r="C148" s="2" t="s">
        <v>215</v>
      </c>
      <c r="G148" s="18">
        <v>210</v>
      </c>
      <c r="I148" s="18">
        <f>G148*B148</f>
        <v>420</v>
      </c>
    </row>
    <row r="149" spans="1:9" s="2" customFormat="1" ht="12">
      <c r="A149" s="2" t="s">
        <v>40</v>
      </c>
      <c r="B149" s="10">
        <v>2</v>
      </c>
      <c r="C149" s="11" t="s">
        <v>99</v>
      </c>
      <c r="D149" s="11"/>
      <c r="E149" s="44"/>
      <c r="F149" s="44"/>
      <c r="G149" s="47">
        <v>68</v>
      </c>
      <c r="H149" s="44"/>
      <c r="I149" s="46">
        <f>G149*B149</f>
        <v>136</v>
      </c>
    </row>
    <row r="150" spans="1:9" s="2" customFormat="1" ht="12">
      <c r="A150" s="2" t="s">
        <v>41</v>
      </c>
      <c r="B150" s="10">
        <v>2</v>
      </c>
      <c r="C150" s="11" t="s">
        <v>86</v>
      </c>
      <c r="D150" s="11"/>
      <c r="E150" s="44"/>
      <c r="F150" s="44"/>
      <c r="G150" s="47">
        <v>245</v>
      </c>
      <c r="H150" s="44"/>
      <c r="I150" s="46">
        <f t="shared" ref="I150:I152" si="8">G150*B150</f>
        <v>490</v>
      </c>
    </row>
    <row r="151" spans="1:9" s="2" customFormat="1" ht="12">
      <c r="A151" s="2" t="s">
        <v>42</v>
      </c>
      <c r="B151" s="40">
        <v>4</v>
      </c>
      <c r="C151" s="43" t="s">
        <v>100</v>
      </c>
      <c r="G151" s="18">
        <v>58</v>
      </c>
      <c r="H151" s="5"/>
      <c r="I151" s="46">
        <f t="shared" si="8"/>
        <v>232</v>
      </c>
    </row>
    <row r="152" spans="1:9" s="2" customFormat="1" ht="12">
      <c r="A152" s="2" t="s">
        <v>48</v>
      </c>
      <c r="B152" s="40">
        <v>1</v>
      </c>
      <c r="C152" s="43" t="s">
        <v>87</v>
      </c>
      <c r="G152" s="18">
        <v>48</v>
      </c>
      <c r="H152" s="5"/>
      <c r="I152" s="46">
        <f t="shared" si="8"/>
        <v>48</v>
      </c>
    </row>
    <row r="153" spans="1:9" s="2" customFormat="1" ht="12">
      <c r="A153" s="2" t="s">
        <v>49</v>
      </c>
      <c r="B153" s="40">
        <v>1</v>
      </c>
      <c r="C153" s="43" t="s">
        <v>104</v>
      </c>
      <c r="G153" s="18">
        <v>58</v>
      </c>
      <c r="H153" s="5"/>
      <c r="I153" s="46">
        <f>G153*B153</f>
        <v>58</v>
      </c>
    </row>
    <row r="154" spans="1:9" s="2" customFormat="1" ht="12">
      <c r="B154" s="40"/>
      <c r="C154" s="43"/>
      <c r="G154" s="18"/>
      <c r="H154" s="5"/>
      <c r="I154" s="46"/>
    </row>
    <row r="155" spans="1:9" s="2" customFormat="1" ht="12">
      <c r="A155" s="49" t="s">
        <v>108</v>
      </c>
      <c r="B155" s="49"/>
      <c r="C155" s="49"/>
      <c r="D155" s="49"/>
      <c r="E155" s="49"/>
      <c r="F155" s="49"/>
      <c r="G155" s="49"/>
      <c r="H155" s="49"/>
      <c r="I155" s="51">
        <f>SUM(I158:I169)</f>
        <v>1540</v>
      </c>
    </row>
    <row r="156" spans="1:9" s="2" customFormat="1" ht="12">
      <c r="A156" s="50"/>
      <c r="B156" s="50"/>
      <c r="C156" s="50"/>
      <c r="D156" s="50"/>
      <c r="E156" s="50"/>
      <c r="F156" s="50"/>
      <c r="G156" s="50"/>
      <c r="H156" s="50"/>
      <c r="I156" s="52"/>
    </row>
    <row r="157" spans="1:9" s="2" customFormat="1" ht="12">
      <c r="A157" s="44"/>
      <c r="B157" s="10"/>
      <c r="C157" s="11"/>
      <c r="D157" s="11"/>
      <c r="E157" s="44"/>
      <c r="F157" s="44"/>
      <c r="G157" s="47"/>
      <c r="H157" s="44"/>
      <c r="I157" s="46"/>
    </row>
    <row r="158" spans="1:9" s="2" customFormat="1" ht="12">
      <c r="A158" s="2" t="s">
        <v>38</v>
      </c>
      <c r="B158" s="12">
        <v>2</v>
      </c>
      <c r="C158" s="2" t="s">
        <v>184</v>
      </c>
      <c r="G158" s="18">
        <v>78</v>
      </c>
      <c r="I158" s="18">
        <f>G158*B158</f>
        <v>156</v>
      </c>
    </row>
    <row r="159" spans="1:9" s="2" customFormat="1" ht="12">
      <c r="A159" s="2" t="s">
        <v>39</v>
      </c>
      <c r="B159" s="12">
        <v>2</v>
      </c>
      <c r="C159" s="2" t="s">
        <v>215</v>
      </c>
      <c r="G159" s="18">
        <v>210</v>
      </c>
      <c r="I159" s="18">
        <f>G159*B159</f>
        <v>420</v>
      </c>
    </row>
    <row r="160" spans="1:9" s="2" customFormat="1" ht="12">
      <c r="A160" s="11" t="s">
        <v>33</v>
      </c>
      <c r="B160" s="10"/>
      <c r="C160" s="20"/>
      <c r="D160" s="12"/>
      <c r="E160" s="29" t="s">
        <v>34</v>
      </c>
      <c r="F160" s="12" t="str">
        <f>D7</f>
        <v>2211AM01S</v>
      </c>
      <c r="G160" s="53" t="str">
        <f>D11</f>
        <v>AM FAIRMOUNT</v>
      </c>
      <c r="H160" s="53"/>
      <c r="I160" s="35" t="s">
        <v>57</v>
      </c>
    </row>
    <row r="161" spans="1:9" s="2" customFormat="1" ht="12">
      <c r="B161" s="12"/>
      <c r="G161" s="18"/>
      <c r="I161" s="18"/>
    </row>
    <row r="162" spans="1:9" s="2" customFormat="1" ht="12">
      <c r="A162" s="49" t="s">
        <v>181</v>
      </c>
      <c r="B162" s="49"/>
      <c r="C162" s="49"/>
      <c r="D162" s="49"/>
      <c r="E162" s="49"/>
      <c r="F162" s="49"/>
      <c r="G162" s="49"/>
      <c r="H162" s="49"/>
      <c r="I162" s="51"/>
    </row>
    <row r="163" spans="1:9" s="2" customFormat="1" ht="12">
      <c r="A163" s="50"/>
      <c r="B163" s="50"/>
      <c r="C163" s="50"/>
      <c r="D163" s="50"/>
      <c r="E163" s="50"/>
      <c r="F163" s="50"/>
      <c r="G163" s="50"/>
      <c r="H163" s="50"/>
      <c r="I163" s="52"/>
    </row>
    <row r="164" spans="1:9" s="2" customFormat="1" ht="12">
      <c r="B164" s="12"/>
      <c r="G164" s="18"/>
      <c r="I164" s="18"/>
    </row>
    <row r="165" spans="1:9" s="2" customFormat="1" ht="12">
      <c r="A165" s="2" t="s">
        <v>40</v>
      </c>
      <c r="B165" s="10">
        <v>2</v>
      </c>
      <c r="C165" s="11" t="s">
        <v>99</v>
      </c>
      <c r="D165" s="11"/>
      <c r="E165" s="44"/>
      <c r="F165" s="44"/>
      <c r="G165" s="47">
        <v>68</v>
      </c>
      <c r="H165" s="44"/>
      <c r="I165" s="46">
        <f>G165*B165</f>
        <v>136</v>
      </c>
    </row>
    <row r="166" spans="1:9" s="2" customFormat="1" ht="12">
      <c r="A166" s="2" t="s">
        <v>41</v>
      </c>
      <c r="B166" s="10">
        <v>2</v>
      </c>
      <c r="C166" s="11" t="s">
        <v>86</v>
      </c>
      <c r="D166" s="11"/>
      <c r="E166" s="44"/>
      <c r="F166" s="44"/>
      <c r="G166" s="47">
        <v>245</v>
      </c>
      <c r="H166" s="44"/>
      <c r="I166" s="46">
        <f t="shared" ref="I166:I168" si="9">G166*B166</f>
        <v>490</v>
      </c>
    </row>
    <row r="167" spans="1:9" s="2" customFormat="1" ht="12">
      <c r="A167" s="2" t="s">
        <v>42</v>
      </c>
      <c r="B167" s="40">
        <v>4</v>
      </c>
      <c r="C167" s="43" t="s">
        <v>100</v>
      </c>
      <c r="G167" s="18">
        <v>58</v>
      </c>
      <c r="H167" s="5"/>
      <c r="I167" s="46">
        <f t="shared" si="9"/>
        <v>232</v>
      </c>
    </row>
    <row r="168" spans="1:9" s="2" customFormat="1" ht="12">
      <c r="A168" s="2" t="s">
        <v>48</v>
      </c>
      <c r="B168" s="40">
        <v>1</v>
      </c>
      <c r="C168" s="43" t="s">
        <v>87</v>
      </c>
      <c r="G168" s="18">
        <v>48</v>
      </c>
      <c r="H168" s="5"/>
      <c r="I168" s="46">
        <f t="shared" si="9"/>
        <v>48</v>
      </c>
    </row>
    <row r="169" spans="1:9" s="2" customFormat="1" ht="12">
      <c r="A169" s="2" t="s">
        <v>49</v>
      </c>
      <c r="B169" s="40">
        <v>1</v>
      </c>
      <c r="C169" s="43" t="s">
        <v>104</v>
      </c>
      <c r="G169" s="18">
        <v>58</v>
      </c>
      <c r="H169" s="5"/>
      <c r="I169" s="46">
        <f>G169*B169</f>
        <v>58</v>
      </c>
    </row>
    <row r="170" spans="1:9" s="2" customFormat="1" ht="12">
      <c r="B170" s="40"/>
      <c r="C170" s="43"/>
      <c r="G170" s="18"/>
      <c r="H170" s="5"/>
      <c r="I170" s="46"/>
    </row>
    <row r="171" spans="1:9" s="2" customFormat="1" ht="12">
      <c r="A171" s="49" t="s">
        <v>109</v>
      </c>
      <c r="B171" s="49"/>
      <c r="C171" s="49"/>
      <c r="D171" s="49"/>
      <c r="E171" s="49"/>
      <c r="F171" s="49"/>
      <c r="G171" s="49"/>
      <c r="H171" s="49"/>
      <c r="I171" s="51">
        <f>SUM(I174:I180)</f>
        <v>1540</v>
      </c>
    </row>
    <row r="172" spans="1:9" s="2" customFormat="1" ht="12">
      <c r="A172" s="50"/>
      <c r="B172" s="50"/>
      <c r="C172" s="50"/>
      <c r="D172" s="50"/>
      <c r="E172" s="50"/>
      <c r="F172" s="50"/>
      <c r="G172" s="50"/>
      <c r="H172" s="50"/>
      <c r="I172" s="52"/>
    </row>
    <row r="173" spans="1:9" s="2" customFormat="1" ht="12">
      <c r="A173" s="44"/>
      <c r="B173" s="44"/>
      <c r="C173" s="44"/>
      <c r="D173" s="44"/>
      <c r="E173" s="44"/>
      <c r="F173" s="44"/>
      <c r="G173" s="44"/>
      <c r="H173" s="44"/>
      <c r="I173" s="45"/>
    </row>
    <row r="174" spans="1:9" s="2" customFormat="1" ht="12">
      <c r="A174" s="2" t="s">
        <v>38</v>
      </c>
      <c r="B174" s="12">
        <v>2</v>
      </c>
      <c r="C174" s="2" t="s">
        <v>184</v>
      </c>
      <c r="G174" s="18">
        <v>78</v>
      </c>
      <c r="I174" s="18">
        <f>G174*B174</f>
        <v>156</v>
      </c>
    </row>
    <row r="175" spans="1:9" s="2" customFormat="1" ht="12">
      <c r="A175" s="2" t="s">
        <v>39</v>
      </c>
      <c r="B175" s="12">
        <v>2</v>
      </c>
      <c r="C175" s="2" t="s">
        <v>215</v>
      </c>
      <c r="G175" s="18">
        <v>210</v>
      </c>
      <c r="I175" s="18">
        <f>G175*B175</f>
        <v>420</v>
      </c>
    </row>
    <row r="176" spans="1:9" s="2" customFormat="1" ht="12">
      <c r="A176" s="2" t="s">
        <v>40</v>
      </c>
      <c r="B176" s="10">
        <v>2</v>
      </c>
      <c r="C176" s="11" t="s">
        <v>99</v>
      </c>
      <c r="D176" s="11"/>
      <c r="E176" s="44"/>
      <c r="F176" s="44"/>
      <c r="G176" s="47">
        <v>68</v>
      </c>
      <c r="H176" s="44"/>
      <c r="I176" s="46">
        <f>G176*B176</f>
        <v>136</v>
      </c>
    </row>
    <row r="177" spans="1:9" s="2" customFormat="1" ht="12">
      <c r="A177" s="2" t="s">
        <v>41</v>
      </c>
      <c r="B177" s="10">
        <v>2</v>
      </c>
      <c r="C177" s="11" t="s">
        <v>86</v>
      </c>
      <c r="D177" s="11"/>
      <c r="E177" s="44"/>
      <c r="F177" s="44"/>
      <c r="G177" s="47">
        <v>245</v>
      </c>
      <c r="H177" s="44"/>
      <c r="I177" s="46">
        <f t="shared" ref="I177:I179" si="10">G177*B177</f>
        <v>490</v>
      </c>
    </row>
    <row r="178" spans="1:9" s="2" customFormat="1" ht="12">
      <c r="A178" s="2" t="s">
        <v>42</v>
      </c>
      <c r="B178" s="40">
        <v>4</v>
      </c>
      <c r="C178" s="43" t="s">
        <v>100</v>
      </c>
      <c r="G178" s="18">
        <v>58</v>
      </c>
      <c r="H178" s="5"/>
      <c r="I178" s="46">
        <f t="shared" si="10"/>
        <v>232</v>
      </c>
    </row>
    <row r="179" spans="1:9" s="2" customFormat="1" ht="12">
      <c r="A179" s="2" t="s">
        <v>48</v>
      </c>
      <c r="B179" s="40">
        <v>1</v>
      </c>
      <c r="C179" s="43" t="s">
        <v>87</v>
      </c>
      <c r="G179" s="18">
        <v>48</v>
      </c>
      <c r="H179" s="5"/>
      <c r="I179" s="46">
        <f t="shared" si="10"/>
        <v>48</v>
      </c>
    </row>
    <row r="180" spans="1:9" s="2" customFormat="1" ht="12">
      <c r="A180" s="2" t="s">
        <v>49</v>
      </c>
      <c r="B180" s="40">
        <v>1</v>
      </c>
      <c r="C180" s="43" t="s">
        <v>104</v>
      </c>
      <c r="G180" s="18">
        <v>58</v>
      </c>
      <c r="H180" s="5"/>
      <c r="I180" s="46">
        <f>G180*B180</f>
        <v>58</v>
      </c>
    </row>
    <row r="181" spans="1:9" s="2" customFormat="1" ht="12">
      <c r="B181" s="40"/>
      <c r="C181" s="43"/>
      <c r="G181" s="18"/>
      <c r="H181" s="5"/>
      <c r="I181" s="46"/>
    </row>
    <row r="182" spans="1:9" s="2" customFormat="1" ht="12">
      <c r="A182" s="49" t="s">
        <v>110</v>
      </c>
      <c r="B182" s="49"/>
      <c r="C182" s="49"/>
      <c r="D182" s="49"/>
      <c r="E182" s="49"/>
      <c r="F182" s="49"/>
      <c r="G182" s="49"/>
      <c r="H182" s="49"/>
      <c r="I182" s="51">
        <f>SUM(I185:I191)</f>
        <v>1540</v>
      </c>
    </row>
    <row r="183" spans="1:9" s="2" customFormat="1" ht="12">
      <c r="A183" s="50"/>
      <c r="B183" s="50"/>
      <c r="C183" s="50"/>
      <c r="D183" s="50"/>
      <c r="E183" s="50"/>
      <c r="F183" s="50"/>
      <c r="G183" s="50"/>
      <c r="H183" s="50"/>
      <c r="I183" s="52"/>
    </row>
    <row r="184" spans="1:9" s="2" customFormat="1" ht="12">
      <c r="A184" s="44"/>
      <c r="B184" s="44"/>
      <c r="C184" s="44"/>
      <c r="D184" s="44"/>
      <c r="E184" s="44"/>
      <c r="F184" s="44"/>
      <c r="G184" s="44"/>
      <c r="H184" s="44"/>
      <c r="I184" s="45"/>
    </row>
    <row r="185" spans="1:9" s="2" customFormat="1" ht="12">
      <c r="A185" s="2" t="s">
        <v>38</v>
      </c>
      <c r="B185" s="12">
        <v>2</v>
      </c>
      <c r="C185" s="2" t="s">
        <v>184</v>
      </c>
      <c r="G185" s="18">
        <v>78</v>
      </c>
      <c r="I185" s="18">
        <f>G185*B185</f>
        <v>156</v>
      </c>
    </row>
    <row r="186" spans="1:9" s="2" customFormat="1" ht="12">
      <c r="A186" s="2" t="s">
        <v>39</v>
      </c>
      <c r="B186" s="12">
        <v>2</v>
      </c>
      <c r="C186" s="2" t="s">
        <v>215</v>
      </c>
      <c r="G186" s="18">
        <v>210</v>
      </c>
      <c r="I186" s="18">
        <f>G186*B186</f>
        <v>420</v>
      </c>
    </row>
    <row r="187" spans="1:9" s="2" customFormat="1" ht="12">
      <c r="A187" s="2" t="s">
        <v>40</v>
      </c>
      <c r="B187" s="10">
        <v>2</v>
      </c>
      <c r="C187" s="11" t="s">
        <v>99</v>
      </c>
      <c r="D187" s="11"/>
      <c r="E187" s="44"/>
      <c r="F187" s="44"/>
      <c r="G187" s="47">
        <v>68</v>
      </c>
      <c r="H187" s="44"/>
      <c r="I187" s="46">
        <f>G187*B187</f>
        <v>136</v>
      </c>
    </row>
    <row r="188" spans="1:9" s="2" customFormat="1" ht="12">
      <c r="A188" s="2" t="s">
        <v>41</v>
      </c>
      <c r="B188" s="10">
        <v>2</v>
      </c>
      <c r="C188" s="11" t="s">
        <v>86</v>
      </c>
      <c r="D188" s="11"/>
      <c r="E188" s="44"/>
      <c r="F188" s="44"/>
      <c r="G188" s="47">
        <v>245</v>
      </c>
      <c r="H188" s="44"/>
      <c r="I188" s="46">
        <f t="shared" ref="I188:I190" si="11">G188*B188</f>
        <v>490</v>
      </c>
    </row>
    <row r="189" spans="1:9" s="2" customFormat="1" ht="12">
      <c r="A189" s="2" t="s">
        <v>42</v>
      </c>
      <c r="B189" s="40">
        <v>4</v>
      </c>
      <c r="C189" s="43" t="s">
        <v>100</v>
      </c>
      <c r="G189" s="18">
        <v>58</v>
      </c>
      <c r="H189" s="5"/>
      <c r="I189" s="46">
        <f t="shared" si="11"/>
        <v>232</v>
      </c>
    </row>
    <row r="190" spans="1:9" s="2" customFormat="1" ht="12">
      <c r="A190" s="2" t="s">
        <v>48</v>
      </c>
      <c r="B190" s="40">
        <v>1</v>
      </c>
      <c r="C190" s="43" t="s">
        <v>87</v>
      </c>
      <c r="G190" s="18">
        <v>48</v>
      </c>
      <c r="H190" s="5"/>
      <c r="I190" s="46">
        <f t="shared" si="11"/>
        <v>48</v>
      </c>
    </row>
    <row r="191" spans="1:9" s="2" customFormat="1" ht="12">
      <c r="A191" s="2" t="s">
        <v>49</v>
      </c>
      <c r="B191" s="40">
        <v>1</v>
      </c>
      <c r="C191" s="43" t="s">
        <v>104</v>
      </c>
      <c r="G191" s="18">
        <v>58</v>
      </c>
      <c r="H191" s="5"/>
      <c r="I191" s="46">
        <f>G191*B191</f>
        <v>58</v>
      </c>
    </row>
    <row r="192" spans="1:9" s="2" customFormat="1" ht="12">
      <c r="B192" s="40"/>
      <c r="C192" s="43"/>
      <c r="G192" s="18"/>
      <c r="H192" s="5"/>
      <c r="I192" s="46"/>
    </row>
    <row r="193" spans="1:9" s="2" customFormat="1" ht="12">
      <c r="A193" s="49" t="s">
        <v>111</v>
      </c>
      <c r="B193" s="49"/>
      <c r="C193" s="49"/>
      <c r="D193" s="49"/>
      <c r="E193" s="49"/>
      <c r="F193" s="49"/>
      <c r="G193" s="49"/>
      <c r="H193" s="49"/>
      <c r="I193" s="51">
        <f>SUM(I196:I204)</f>
        <v>2790</v>
      </c>
    </row>
    <row r="194" spans="1:9" s="2" customFormat="1" ht="12">
      <c r="A194" s="50"/>
      <c r="B194" s="50"/>
      <c r="C194" s="50"/>
      <c r="D194" s="50"/>
      <c r="E194" s="50"/>
      <c r="F194" s="50"/>
      <c r="G194" s="50"/>
      <c r="H194" s="50"/>
      <c r="I194" s="52"/>
    </row>
    <row r="195" spans="1:9" s="2" customFormat="1" ht="12">
      <c r="B195" s="17"/>
      <c r="G195" s="5"/>
      <c r="H195" s="5"/>
    </row>
    <row r="196" spans="1:9" s="2" customFormat="1" ht="12">
      <c r="A196" s="2" t="s">
        <v>38</v>
      </c>
      <c r="B196" s="40">
        <v>4</v>
      </c>
      <c r="C196" s="2" t="s">
        <v>217</v>
      </c>
      <c r="G196" s="18">
        <v>335</v>
      </c>
      <c r="H196" s="5"/>
      <c r="I196" s="41">
        <f>G196*B196</f>
        <v>1340</v>
      </c>
    </row>
    <row r="197" spans="1:9" s="2" customFormat="1" ht="12">
      <c r="A197" s="2" t="s">
        <v>39</v>
      </c>
      <c r="B197" s="12">
        <v>5</v>
      </c>
      <c r="C197" s="2" t="s">
        <v>182</v>
      </c>
      <c r="G197" s="18">
        <v>24</v>
      </c>
      <c r="H197" s="5"/>
      <c r="I197" s="41">
        <f t="shared" ref="I197:I204" si="12">G197*B197</f>
        <v>120</v>
      </c>
    </row>
    <row r="198" spans="1:9" s="2" customFormat="1" ht="12">
      <c r="A198" s="2" t="s">
        <v>40</v>
      </c>
      <c r="B198" s="40">
        <v>1</v>
      </c>
      <c r="C198" s="2" t="s">
        <v>91</v>
      </c>
      <c r="G198" s="18">
        <v>58</v>
      </c>
      <c r="H198" s="5"/>
      <c r="I198" s="41">
        <f t="shared" si="12"/>
        <v>58</v>
      </c>
    </row>
    <row r="199" spans="1:9" s="2" customFormat="1" ht="12">
      <c r="A199" s="2" t="s">
        <v>41</v>
      </c>
      <c r="B199" s="40">
        <v>2</v>
      </c>
      <c r="C199" s="2" t="s">
        <v>86</v>
      </c>
      <c r="G199" s="18">
        <v>245</v>
      </c>
      <c r="H199" s="5"/>
      <c r="I199" s="41">
        <f t="shared" si="12"/>
        <v>490</v>
      </c>
    </row>
    <row r="200" spans="1:9" s="2" customFormat="1" ht="12">
      <c r="A200" s="2" t="s">
        <v>42</v>
      </c>
      <c r="B200" s="12">
        <v>1</v>
      </c>
      <c r="C200" s="2" t="s">
        <v>92</v>
      </c>
      <c r="G200" s="18">
        <v>58</v>
      </c>
      <c r="H200" s="5"/>
      <c r="I200" s="41">
        <f t="shared" si="12"/>
        <v>58</v>
      </c>
    </row>
    <row r="201" spans="1:9" s="2" customFormat="1" ht="12">
      <c r="A201" s="2" t="s">
        <v>48</v>
      </c>
      <c r="B201" s="40">
        <v>2</v>
      </c>
      <c r="C201" s="43" t="s">
        <v>183</v>
      </c>
      <c r="G201" s="18">
        <v>68</v>
      </c>
      <c r="H201" s="5"/>
      <c r="I201" s="41">
        <f t="shared" si="12"/>
        <v>136</v>
      </c>
    </row>
    <row r="202" spans="1:9" s="2" customFormat="1" ht="12">
      <c r="A202" s="2" t="s">
        <v>49</v>
      </c>
      <c r="B202" s="40">
        <v>2</v>
      </c>
      <c r="C202" s="2" t="s">
        <v>215</v>
      </c>
      <c r="G202" s="18">
        <v>210</v>
      </c>
      <c r="H202" s="5"/>
      <c r="I202" s="41">
        <f t="shared" si="12"/>
        <v>420</v>
      </c>
    </row>
    <row r="203" spans="1:9" s="2" customFormat="1" ht="12">
      <c r="A203" s="2" t="s">
        <v>50</v>
      </c>
      <c r="B203" s="40">
        <v>1</v>
      </c>
      <c r="C203" s="2" t="s">
        <v>90</v>
      </c>
      <c r="G203" s="18">
        <v>58</v>
      </c>
      <c r="H203" s="5"/>
      <c r="I203" s="41">
        <f t="shared" si="12"/>
        <v>58</v>
      </c>
    </row>
    <row r="204" spans="1:9" s="2" customFormat="1" ht="12">
      <c r="A204" s="2" t="s">
        <v>51</v>
      </c>
      <c r="B204" s="40">
        <v>1</v>
      </c>
      <c r="C204" s="2" t="s">
        <v>112</v>
      </c>
      <c r="G204" s="18">
        <v>110</v>
      </c>
      <c r="H204" s="5"/>
      <c r="I204" s="41">
        <f t="shared" si="12"/>
        <v>110</v>
      </c>
    </row>
    <row r="205" spans="1:9" s="2" customFormat="1" ht="12">
      <c r="H205" s="5"/>
      <c r="I205" s="41"/>
    </row>
    <row r="206" spans="1:9" s="2" customFormat="1" ht="12">
      <c r="A206" s="49" t="s">
        <v>113</v>
      </c>
      <c r="B206" s="49"/>
      <c r="C206" s="49"/>
      <c r="D206" s="49"/>
      <c r="E206" s="49"/>
      <c r="F206" s="49"/>
      <c r="G206" s="49"/>
      <c r="H206" s="49"/>
      <c r="I206" s="51">
        <f>SUM(I209:I220)</f>
        <v>1184</v>
      </c>
    </row>
    <row r="207" spans="1:9" s="2" customFormat="1" ht="12">
      <c r="A207" s="50"/>
      <c r="B207" s="50"/>
      <c r="C207" s="50"/>
      <c r="D207" s="50"/>
      <c r="E207" s="50"/>
      <c r="F207" s="50"/>
      <c r="G207" s="50"/>
      <c r="H207" s="50"/>
      <c r="I207" s="52"/>
    </row>
    <row r="208" spans="1:9" s="2" customFormat="1" ht="12">
      <c r="A208" s="44"/>
      <c r="B208" s="44"/>
      <c r="C208" s="44"/>
      <c r="D208" s="44"/>
      <c r="E208" s="44"/>
      <c r="F208" s="44"/>
      <c r="G208" s="44"/>
      <c r="H208" s="44"/>
      <c r="I208" s="45"/>
    </row>
    <row r="209" spans="1:9" s="2" customFormat="1" ht="12">
      <c r="A209" s="2" t="s">
        <v>38</v>
      </c>
      <c r="B209" s="40">
        <v>1</v>
      </c>
      <c r="C209" s="43" t="s">
        <v>183</v>
      </c>
      <c r="G209" s="18">
        <v>68</v>
      </c>
      <c r="H209" s="5"/>
      <c r="I209" s="41">
        <f>G209*B209</f>
        <v>68</v>
      </c>
    </row>
    <row r="210" spans="1:9" s="2" customFormat="1" ht="12">
      <c r="A210" s="2" t="s">
        <v>39</v>
      </c>
      <c r="B210" s="40">
        <v>2</v>
      </c>
      <c r="C210" s="2" t="s">
        <v>215</v>
      </c>
      <c r="G210" s="18">
        <v>210</v>
      </c>
      <c r="H210" s="5"/>
      <c r="I210" s="41">
        <f t="shared" ref="I210:I220" si="13">G210*B210</f>
        <v>420</v>
      </c>
    </row>
    <row r="211" spans="1:9" s="2" customFormat="1" ht="12">
      <c r="A211" s="2" t="s">
        <v>40</v>
      </c>
      <c r="B211" s="40">
        <v>1</v>
      </c>
      <c r="C211" s="2" t="s">
        <v>114</v>
      </c>
      <c r="G211" s="18">
        <v>68</v>
      </c>
      <c r="H211" s="5"/>
      <c r="I211" s="41">
        <f t="shared" si="13"/>
        <v>68</v>
      </c>
    </row>
    <row r="212" spans="1:9" s="2" customFormat="1" ht="12">
      <c r="B212" s="40"/>
      <c r="G212" s="18"/>
      <c r="H212" s="5"/>
      <c r="I212" s="41"/>
    </row>
    <row r="213" spans="1:9" s="2" customFormat="1" ht="12">
      <c r="A213" s="11" t="s">
        <v>33</v>
      </c>
      <c r="B213" s="10"/>
      <c r="C213" s="20"/>
      <c r="D213" s="12"/>
      <c r="E213" s="29" t="s">
        <v>34</v>
      </c>
      <c r="F213" s="12" t="str">
        <f>D7</f>
        <v>2211AM01S</v>
      </c>
      <c r="G213" s="53" t="str">
        <f>D11</f>
        <v>AM FAIRMOUNT</v>
      </c>
      <c r="H213" s="53"/>
      <c r="I213" s="35" t="s">
        <v>119</v>
      </c>
    </row>
    <row r="214" spans="1:9" s="2" customFormat="1" ht="12">
      <c r="B214" s="40"/>
      <c r="G214" s="18"/>
      <c r="H214" s="5"/>
      <c r="I214" s="41"/>
    </row>
    <row r="215" spans="1:9" s="2" customFormat="1" ht="12">
      <c r="A215" s="49" t="s">
        <v>187</v>
      </c>
      <c r="B215" s="49"/>
      <c r="C215" s="49"/>
      <c r="D215" s="49"/>
      <c r="E215" s="49"/>
      <c r="F215" s="49"/>
      <c r="G215" s="49"/>
      <c r="H215" s="49"/>
      <c r="I215" s="51"/>
    </row>
    <row r="216" spans="1:9" s="2" customFormat="1" ht="12">
      <c r="A216" s="50"/>
      <c r="B216" s="50"/>
      <c r="C216" s="50"/>
      <c r="D216" s="50"/>
      <c r="E216" s="50"/>
      <c r="F216" s="50"/>
      <c r="G216" s="50"/>
      <c r="H216" s="50"/>
      <c r="I216" s="52"/>
    </row>
    <row r="217" spans="1:9" s="2" customFormat="1" ht="12">
      <c r="B217" s="40"/>
      <c r="G217" s="18"/>
      <c r="H217" s="5"/>
      <c r="I217" s="41"/>
    </row>
    <row r="218" spans="1:9" s="2" customFormat="1" ht="12">
      <c r="A218" s="2" t="s">
        <v>41</v>
      </c>
      <c r="B218" s="40">
        <v>1</v>
      </c>
      <c r="C218" s="2" t="s">
        <v>115</v>
      </c>
      <c r="G218" s="18">
        <v>48</v>
      </c>
      <c r="H218" s="5"/>
      <c r="I218" s="41">
        <f t="shared" si="13"/>
        <v>48</v>
      </c>
    </row>
    <row r="219" spans="1:9" s="2" customFormat="1" ht="12">
      <c r="A219" s="2" t="s">
        <v>42</v>
      </c>
      <c r="B219" s="40">
        <v>1</v>
      </c>
      <c r="C219" s="2" t="s">
        <v>116</v>
      </c>
      <c r="G219" s="18">
        <v>195</v>
      </c>
      <c r="H219" s="5"/>
      <c r="I219" s="41">
        <f t="shared" si="13"/>
        <v>195</v>
      </c>
    </row>
    <row r="220" spans="1:9" s="2" customFormat="1" ht="12">
      <c r="A220" s="2" t="s">
        <v>48</v>
      </c>
      <c r="B220" s="10">
        <v>1</v>
      </c>
      <c r="C220" s="11" t="s">
        <v>117</v>
      </c>
      <c r="D220" s="44"/>
      <c r="E220" s="44"/>
      <c r="F220" s="44"/>
      <c r="G220" s="47">
        <v>385</v>
      </c>
      <c r="H220" s="47"/>
      <c r="I220" s="41">
        <f t="shared" si="13"/>
        <v>385</v>
      </c>
    </row>
    <row r="221" spans="1:9" s="2" customFormat="1" ht="12">
      <c r="B221" s="10"/>
      <c r="C221" s="11"/>
      <c r="D221" s="44"/>
      <c r="E221" s="44"/>
      <c r="F221" s="44"/>
      <c r="G221" s="47"/>
      <c r="H221" s="47"/>
      <c r="I221" s="46"/>
    </row>
    <row r="222" spans="1:9" s="2" customFormat="1" ht="12">
      <c r="A222" s="49" t="s">
        <v>118</v>
      </c>
      <c r="B222" s="49"/>
      <c r="C222" s="49"/>
      <c r="D222" s="49"/>
      <c r="E222" s="49"/>
      <c r="F222" s="49"/>
      <c r="G222" s="49"/>
      <c r="H222" s="49"/>
      <c r="I222" s="51">
        <f>SUM(I225:I227)</f>
        <v>336</v>
      </c>
    </row>
    <row r="223" spans="1:9" s="2" customFormat="1" ht="12">
      <c r="A223" s="50"/>
      <c r="B223" s="50"/>
      <c r="C223" s="50"/>
      <c r="D223" s="50"/>
      <c r="E223" s="50"/>
      <c r="F223" s="50"/>
      <c r="G223" s="50"/>
      <c r="H223" s="50"/>
      <c r="I223" s="52"/>
    </row>
    <row r="224" spans="1:9" s="2" customFormat="1" ht="12">
      <c r="A224" s="44"/>
      <c r="B224" s="44"/>
      <c r="C224" s="44"/>
      <c r="D224" s="44"/>
      <c r="E224" s="44"/>
      <c r="F224" s="44"/>
      <c r="G224" s="44"/>
      <c r="H224" s="44"/>
      <c r="I224" s="45"/>
    </row>
    <row r="225" spans="1:9" s="2" customFormat="1" ht="12">
      <c r="A225" s="2" t="s">
        <v>38</v>
      </c>
      <c r="B225" s="40">
        <v>1</v>
      </c>
      <c r="C225" s="2" t="s">
        <v>183</v>
      </c>
      <c r="G225" s="18">
        <v>68</v>
      </c>
      <c r="H225" s="5"/>
      <c r="I225" s="41">
        <f>G225*B225</f>
        <v>68</v>
      </c>
    </row>
    <row r="226" spans="1:9" s="2" customFormat="1" ht="12">
      <c r="A226" s="2" t="s">
        <v>39</v>
      </c>
      <c r="B226" s="40">
        <v>1</v>
      </c>
      <c r="C226" s="2" t="s">
        <v>215</v>
      </c>
      <c r="G226" s="18">
        <v>210</v>
      </c>
      <c r="H226" s="5"/>
      <c r="I226" s="41">
        <f>G226*B226</f>
        <v>210</v>
      </c>
    </row>
    <row r="227" spans="1:9" s="2" customFormat="1" ht="12">
      <c r="A227" s="2" t="s">
        <v>40</v>
      </c>
      <c r="B227" s="40">
        <v>1</v>
      </c>
      <c r="C227" s="2" t="s">
        <v>90</v>
      </c>
      <c r="G227" s="18">
        <v>58</v>
      </c>
      <c r="H227" s="5"/>
      <c r="I227" s="41">
        <f>G227*B227</f>
        <v>58</v>
      </c>
    </row>
    <row r="228" spans="1:9" s="2" customFormat="1" ht="12">
      <c r="B228" s="40"/>
      <c r="G228" s="18"/>
      <c r="H228" s="5"/>
      <c r="I228" s="41"/>
    </row>
    <row r="229" spans="1:9" s="2" customFormat="1" ht="12">
      <c r="A229" s="49" t="s">
        <v>120</v>
      </c>
      <c r="B229" s="49"/>
      <c r="C229" s="49"/>
      <c r="D229" s="49"/>
      <c r="E229" s="49"/>
      <c r="F229" s="49"/>
      <c r="G229" s="49"/>
      <c r="H229" s="49"/>
      <c r="I229" s="51">
        <f>SUM(I232:I234)</f>
        <v>336</v>
      </c>
    </row>
    <row r="230" spans="1:9" s="2" customFormat="1" ht="12">
      <c r="A230" s="50"/>
      <c r="B230" s="50"/>
      <c r="C230" s="50"/>
      <c r="D230" s="50"/>
      <c r="E230" s="50"/>
      <c r="F230" s="50"/>
      <c r="G230" s="50"/>
      <c r="H230" s="50"/>
      <c r="I230" s="52"/>
    </row>
    <row r="231" spans="1:9" s="2" customFormat="1" ht="12">
      <c r="A231" s="44"/>
      <c r="B231" s="44"/>
      <c r="C231" s="44"/>
      <c r="D231" s="44"/>
      <c r="E231" s="44"/>
      <c r="F231" s="44"/>
      <c r="G231" s="44"/>
      <c r="H231" s="44"/>
      <c r="I231" s="45"/>
    </row>
    <row r="232" spans="1:9" s="2" customFormat="1" ht="12">
      <c r="A232" s="2" t="s">
        <v>38</v>
      </c>
      <c r="B232" s="40">
        <v>1</v>
      </c>
      <c r="C232" s="2" t="s">
        <v>183</v>
      </c>
      <c r="G232" s="18">
        <v>68</v>
      </c>
      <c r="H232" s="5"/>
      <c r="I232" s="41">
        <f>G232*B232</f>
        <v>68</v>
      </c>
    </row>
    <row r="233" spans="1:9" s="2" customFormat="1" ht="12">
      <c r="A233" s="2" t="s">
        <v>39</v>
      </c>
      <c r="B233" s="40">
        <v>1</v>
      </c>
      <c r="C233" s="2" t="s">
        <v>215</v>
      </c>
      <c r="G233" s="18">
        <v>210</v>
      </c>
      <c r="H233" s="5"/>
      <c r="I233" s="41">
        <f>G233*B233</f>
        <v>210</v>
      </c>
    </row>
    <row r="234" spans="1:9" s="2" customFormat="1" ht="12">
      <c r="A234" s="2" t="s">
        <v>40</v>
      </c>
      <c r="B234" s="40">
        <v>1</v>
      </c>
      <c r="C234" s="2" t="s">
        <v>90</v>
      </c>
      <c r="G234" s="18">
        <v>58</v>
      </c>
      <c r="H234" s="5"/>
      <c r="I234" s="41">
        <f>G234*B234</f>
        <v>58</v>
      </c>
    </row>
    <row r="235" spans="1:9" s="2" customFormat="1" ht="12">
      <c r="B235" s="40"/>
      <c r="G235" s="18"/>
      <c r="H235" s="5"/>
      <c r="I235" s="41"/>
    </row>
    <row r="236" spans="1:9" s="2" customFormat="1" ht="12">
      <c r="A236" s="49" t="s">
        <v>121</v>
      </c>
      <c r="B236" s="49"/>
      <c r="C236" s="49"/>
      <c r="D236" s="49"/>
      <c r="E236" s="49"/>
      <c r="F236" s="49"/>
      <c r="G236" s="49"/>
      <c r="H236" s="49"/>
      <c r="I236" s="51">
        <f>SUM(I239:I241)</f>
        <v>336</v>
      </c>
    </row>
    <row r="237" spans="1:9" s="2" customFormat="1" ht="12">
      <c r="A237" s="50"/>
      <c r="B237" s="50"/>
      <c r="C237" s="50"/>
      <c r="D237" s="50"/>
      <c r="E237" s="50"/>
      <c r="F237" s="50"/>
      <c r="G237" s="50"/>
      <c r="H237" s="50"/>
      <c r="I237" s="52"/>
    </row>
    <row r="238" spans="1:9" s="2" customFormat="1" ht="12">
      <c r="A238" s="44"/>
      <c r="B238" s="44"/>
      <c r="C238" s="44"/>
      <c r="D238" s="44"/>
      <c r="E238" s="44"/>
      <c r="F238" s="44"/>
      <c r="G238" s="44"/>
      <c r="H238" s="44"/>
      <c r="I238" s="45"/>
    </row>
    <row r="239" spans="1:9" s="2" customFormat="1" ht="12">
      <c r="A239" s="2" t="s">
        <v>38</v>
      </c>
      <c r="B239" s="40">
        <v>1</v>
      </c>
      <c r="C239" s="2" t="s">
        <v>183</v>
      </c>
      <c r="G239" s="18">
        <v>68</v>
      </c>
      <c r="H239" s="5"/>
      <c r="I239" s="41">
        <f>G239*B239</f>
        <v>68</v>
      </c>
    </row>
    <row r="240" spans="1:9" s="2" customFormat="1" ht="12">
      <c r="A240" s="2" t="s">
        <v>39</v>
      </c>
      <c r="B240" s="40">
        <v>1</v>
      </c>
      <c r="C240" s="2" t="s">
        <v>215</v>
      </c>
      <c r="G240" s="18">
        <v>210</v>
      </c>
      <c r="H240" s="5"/>
      <c r="I240" s="41">
        <f>G240*B240</f>
        <v>210</v>
      </c>
    </row>
    <row r="241" spans="1:9" s="2" customFormat="1" ht="12">
      <c r="A241" s="2" t="s">
        <v>40</v>
      </c>
      <c r="B241" s="40">
        <v>1</v>
      </c>
      <c r="C241" s="2" t="s">
        <v>90</v>
      </c>
      <c r="G241" s="18">
        <v>58</v>
      </c>
      <c r="H241" s="5"/>
      <c r="I241" s="41">
        <f>G241*B241</f>
        <v>58</v>
      </c>
    </row>
    <row r="242" spans="1:9" s="2" customFormat="1" ht="12">
      <c r="B242" s="40"/>
      <c r="G242" s="18"/>
      <c r="H242" s="5"/>
      <c r="I242" s="41"/>
    </row>
    <row r="243" spans="1:9" s="2" customFormat="1" ht="12">
      <c r="A243" s="49" t="s">
        <v>122</v>
      </c>
      <c r="B243" s="49"/>
      <c r="C243" s="49"/>
      <c r="D243" s="49"/>
      <c r="E243" s="49"/>
      <c r="F243" s="49"/>
      <c r="G243" s="49"/>
      <c r="H243" s="49"/>
      <c r="I243" s="51">
        <f>SUM(I246:I248)</f>
        <v>336</v>
      </c>
    </row>
    <row r="244" spans="1:9" s="2" customFormat="1" ht="12">
      <c r="A244" s="50"/>
      <c r="B244" s="50"/>
      <c r="C244" s="50"/>
      <c r="D244" s="50"/>
      <c r="E244" s="50"/>
      <c r="F244" s="50"/>
      <c r="G244" s="50"/>
      <c r="H244" s="50"/>
      <c r="I244" s="52"/>
    </row>
    <row r="245" spans="1:9" s="2" customFormat="1" ht="12">
      <c r="A245" s="44"/>
      <c r="B245" s="44"/>
      <c r="C245" s="44"/>
      <c r="D245" s="44"/>
      <c r="E245" s="44"/>
      <c r="F245" s="44"/>
      <c r="G245" s="44"/>
      <c r="H245" s="44"/>
      <c r="I245" s="45"/>
    </row>
    <row r="246" spans="1:9" s="2" customFormat="1" ht="12">
      <c r="A246" s="2" t="s">
        <v>38</v>
      </c>
      <c r="B246" s="40">
        <v>1</v>
      </c>
      <c r="C246" s="2" t="s">
        <v>183</v>
      </c>
      <c r="G246" s="18">
        <v>68</v>
      </c>
      <c r="H246" s="5"/>
      <c r="I246" s="41">
        <f>G246*B246</f>
        <v>68</v>
      </c>
    </row>
    <row r="247" spans="1:9" s="2" customFormat="1" ht="12">
      <c r="A247" s="2" t="s">
        <v>39</v>
      </c>
      <c r="B247" s="40">
        <v>1</v>
      </c>
      <c r="C247" s="2" t="s">
        <v>215</v>
      </c>
      <c r="G247" s="18">
        <v>210</v>
      </c>
      <c r="H247" s="5"/>
      <c r="I247" s="41">
        <f>G247*B247</f>
        <v>210</v>
      </c>
    </row>
    <row r="248" spans="1:9" s="2" customFormat="1" ht="12">
      <c r="A248" s="2" t="s">
        <v>40</v>
      </c>
      <c r="B248" s="40">
        <v>1</v>
      </c>
      <c r="C248" s="2" t="s">
        <v>90</v>
      </c>
      <c r="G248" s="18">
        <v>58</v>
      </c>
      <c r="H248" s="5"/>
      <c r="I248" s="41">
        <f>G248*B248</f>
        <v>58</v>
      </c>
    </row>
    <row r="249" spans="1:9" s="2" customFormat="1" ht="12">
      <c r="B249" s="40"/>
      <c r="G249" s="18"/>
      <c r="H249" s="5"/>
      <c r="I249" s="41"/>
    </row>
    <row r="250" spans="1:9" s="2" customFormat="1" ht="12">
      <c r="A250" s="49" t="s">
        <v>123</v>
      </c>
      <c r="B250" s="49"/>
      <c r="C250" s="49"/>
      <c r="D250" s="49"/>
      <c r="E250" s="49"/>
      <c r="F250" s="49"/>
      <c r="G250" s="49"/>
      <c r="H250" s="49"/>
      <c r="I250" s="51">
        <f>SUM(I253:I255)</f>
        <v>336</v>
      </c>
    </row>
    <row r="251" spans="1:9" s="2" customFormat="1" ht="12">
      <c r="A251" s="50"/>
      <c r="B251" s="50"/>
      <c r="C251" s="50"/>
      <c r="D251" s="50"/>
      <c r="E251" s="50"/>
      <c r="F251" s="50"/>
      <c r="G251" s="50"/>
      <c r="H251" s="50"/>
      <c r="I251" s="52"/>
    </row>
    <row r="252" spans="1:9" s="2" customFormat="1" ht="12">
      <c r="A252" s="44"/>
      <c r="B252" s="44"/>
      <c r="C252" s="44"/>
      <c r="D252" s="44"/>
      <c r="E252" s="44"/>
      <c r="F252" s="44"/>
      <c r="G252" s="44"/>
      <c r="H252" s="44"/>
      <c r="I252" s="45"/>
    </row>
    <row r="253" spans="1:9" s="2" customFormat="1" ht="12">
      <c r="A253" s="2" t="s">
        <v>38</v>
      </c>
      <c r="B253" s="40">
        <v>1</v>
      </c>
      <c r="C253" s="2" t="s">
        <v>183</v>
      </c>
      <c r="G253" s="18">
        <v>68</v>
      </c>
      <c r="H253" s="5"/>
      <c r="I253" s="41">
        <f>G253*B253</f>
        <v>68</v>
      </c>
    </row>
    <row r="254" spans="1:9" s="2" customFormat="1" ht="12">
      <c r="A254" s="2" t="s">
        <v>39</v>
      </c>
      <c r="B254" s="40">
        <v>1</v>
      </c>
      <c r="C254" s="2" t="s">
        <v>215</v>
      </c>
      <c r="G254" s="18">
        <v>210</v>
      </c>
      <c r="H254" s="5"/>
      <c r="I254" s="41">
        <f>G254*B254</f>
        <v>210</v>
      </c>
    </row>
    <row r="255" spans="1:9" s="2" customFormat="1" ht="12">
      <c r="A255" s="2" t="s">
        <v>40</v>
      </c>
      <c r="B255" s="40">
        <v>1</v>
      </c>
      <c r="C255" s="2" t="s">
        <v>90</v>
      </c>
      <c r="G255" s="18">
        <v>58</v>
      </c>
      <c r="H255" s="5"/>
      <c r="I255" s="41">
        <f>G255*B255</f>
        <v>58</v>
      </c>
    </row>
    <row r="256" spans="1:9" s="2" customFormat="1" ht="12"/>
    <row r="257" spans="1:9" s="2" customFormat="1" ht="12">
      <c r="A257" s="49" t="s">
        <v>124</v>
      </c>
      <c r="B257" s="49"/>
      <c r="C257" s="49"/>
      <c r="D257" s="49"/>
      <c r="E257" s="49"/>
      <c r="F257" s="49"/>
      <c r="G257" s="49"/>
      <c r="H257" s="49"/>
      <c r="I257" s="51">
        <f>SUM(I260:I262)</f>
        <v>336</v>
      </c>
    </row>
    <row r="258" spans="1:9" s="2" customFormat="1" ht="12">
      <c r="A258" s="50"/>
      <c r="B258" s="50"/>
      <c r="C258" s="50"/>
      <c r="D258" s="50"/>
      <c r="E258" s="50"/>
      <c r="F258" s="50"/>
      <c r="G258" s="50"/>
      <c r="H258" s="50"/>
      <c r="I258" s="52"/>
    </row>
    <row r="259" spans="1:9" s="2" customFormat="1" ht="12">
      <c r="A259" s="44"/>
      <c r="B259" s="44"/>
      <c r="C259" s="44"/>
      <c r="D259" s="44"/>
      <c r="E259" s="44"/>
      <c r="F259" s="44"/>
      <c r="G259" s="44"/>
      <c r="H259" s="44"/>
      <c r="I259" s="45"/>
    </row>
    <row r="260" spans="1:9" s="2" customFormat="1" ht="12">
      <c r="A260" s="2" t="s">
        <v>38</v>
      </c>
      <c r="B260" s="40">
        <v>1</v>
      </c>
      <c r="C260" s="2" t="s">
        <v>183</v>
      </c>
      <c r="G260" s="18">
        <v>68</v>
      </c>
      <c r="H260" s="5"/>
      <c r="I260" s="41">
        <f>G260*B260</f>
        <v>68</v>
      </c>
    </row>
    <row r="261" spans="1:9" s="2" customFormat="1" ht="12">
      <c r="A261" s="2" t="s">
        <v>39</v>
      </c>
      <c r="B261" s="40">
        <v>1</v>
      </c>
      <c r="C261" s="2" t="s">
        <v>215</v>
      </c>
      <c r="G261" s="18">
        <v>210</v>
      </c>
      <c r="H261" s="5"/>
      <c r="I261" s="41">
        <f>G261*B261</f>
        <v>210</v>
      </c>
    </row>
    <row r="262" spans="1:9" s="2" customFormat="1" ht="12">
      <c r="A262" s="2" t="s">
        <v>40</v>
      </c>
      <c r="B262" s="40">
        <v>1</v>
      </c>
      <c r="C262" s="2" t="s">
        <v>90</v>
      </c>
      <c r="G262" s="18">
        <v>58</v>
      </c>
      <c r="H262" s="5"/>
      <c r="I262" s="41">
        <f>G262*B262</f>
        <v>58</v>
      </c>
    </row>
    <row r="263" spans="1:9" s="2" customFormat="1" ht="12">
      <c r="B263" s="40"/>
      <c r="G263" s="18"/>
      <c r="H263" s="5"/>
      <c r="I263" s="41"/>
    </row>
    <row r="264" spans="1:9" s="2" customFormat="1" ht="12">
      <c r="B264" s="40"/>
      <c r="G264" s="18"/>
      <c r="H264" s="5"/>
      <c r="I264" s="41"/>
    </row>
    <row r="265" spans="1:9" s="2" customFormat="1" ht="12"/>
    <row r="266" spans="1:9" s="2" customFormat="1" ht="12">
      <c r="A266" s="11" t="s">
        <v>33</v>
      </c>
      <c r="B266" s="10"/>
      <c r="C266" s="20"/>
      <c r="D266" s="12"/>
      <c r="E266" s="29" t="s">
        <v>34</v>
      </c>
      <c r="F266" s="12" t="str">
        <f>D7</f>
        <v>2211AM01S</v>
      </c>
      <c r="G266" s="53" t="str">
        <f>D11</f>
        <v>AM FAIRMOUNT</v>
      </c>
      <c r="H266" s="53"/>
      <c r="I266" s="35" t="s">
        <v>126</v>
      </c>
    </row>
    <row r="267" spans="1:9" s="2" customFormat="1" ht="12">
      <c r="B267" s="40"/>
      <c r="G267" s="18"/>
      <c r="H267" s="5"/>
      <c r="I267" s="46"/>
    </row>
    <row r="268" spans="1:9" s="2" customFormat="1" ht="12">
      <c r="A268" s="49" t="s">
        <v>125</v>
      </c>
      <c r="B268" s="49"/>
      <c r="C268" s="49"/>
      <c r="D268" s="49"/>
      <c r="E268" s="49"/>
      <c r="F268" s="49"/>
      <c r="G268" s="49"/>
      <c r="H268" s="49"/>
      <c r="I268" s="51">
        <f>SUM(I271:I273)</f>
        <v>336</v>
      </c>
    </row>
    <row r="269" spans="1:9" s="2" customFormat="1" ht="12">
      <c r="A269" s="50"/>
      <c r="B269" s="50"/>
      <c r="C269" s="50"/>
      <c r="D269" s="50"/>
      <c r="E269" s="50"/>
      <c r="F269" s="50"/>
      <c r="G269" s="50"/>
      <c r="H269" s="50"/>
      <c r="I269" s="52"/>
    </row>
    <row r="270" spans="1:9" s="2" customFormat="1" ht="12">
      <c r="A270" s="44"/>
      <c r="B270" s="44"/>
      <c r="C270" s="44"/>
      <c r="D270" s="44"/>
      <c r="E270" s="44"/>
      <c r="F270" s="44"/>
      <c r="G270" s="44"/>
      <c r="H270" s="44"/>
      <c r="I270" s="45"/>
    </row>
    <row r="271" spans="1:9" s="2" customFormat="1" ht="12">
      <c r="A271" s="2" t="s">
        <v>38</v>
      </c>
      <c r="B271" s="40">
        <v>1</v>
      </c>
      <c r="C271" s="2" t="s">
        <v>183</v>
      </c>
      <c r="G271" s="18">
        <v>68</v>
      </c>
      <c r="H271" s="5"/>
      <c r="I271" s="41">
        <f>G271*B271</f>
        <v>68</v>
      </c>
    </row>
    <row r="272" spans="1:9" s="2" customFormat="1" ht="12">
      <c r="A272" s="2" t="s">
        <v>39</v>
      </c>
      <c r="B272" s="40">
        <v>1</v>
      </c>
      <c r="C272" s="2" t="s">
        <v>215</v>
      </c>
      <c r="G272" s="18">
        <v>210</v>
      </c>
      <c r="H272" s="5"/>
      <c r="I272" s="41">
        <f>G272*B272</f>
        <v>210</v>
      </c>
    </row>
    <row r="273" spans="1:9" s="2" customFormat="1" ht="12">
      <c r="A273" s="2" t="s">
        <v>40</v>
      </c>
      <c r="B273" s="40">
        <v>1</v>
      </c>
      <c r="C273" s="2" t="s">
        <v>90</v>
      </c>
      <c r="G273" s="18">
        <v>58</v>
      </c>
      <c r="H273" s="5"/>
      <c r="I273" s="41">
        <f>G273*B273</f>
        <v>58</v>
      </c>
    </row>
    <row r="274" spans="1:9" s="2" customFormat="1" ht="12">
      <c r="B274" s="40"/>
      <c r="G274" s="18"/>
      <c r="H274" s="5"/>
      <c r="I274" s="41"/>
    </row>
    <row r="275" spans="1:9" s="2" customFormat="1" ht="12">
      <c r="A275" s="49" t="s">
        <v>127</v>
      </c>
      <c r="B275" s="49"/>
      <c r="C275" s="49"/>
      <c r="D275" s="49"/>
      <c r="E275" s="49"/>
      <c r="F275" s="49"/>
      <c r="G275" s="49"/>
      <c r="H275" s="49"/>
      <c r="I275" s="51">
        <f>SUM(I278:I287)</f>
        <v>2013</v>
      </c>
    </row>
    <row r="276" spans="1:9" s="2" customFormat="1" ht="12">
      <c r="A276" s="50"/>
      <c r="B276" s="50"/>
      <c r="C276" s="50"/>
      <c r="D276" s="50"/>
      <c r="E276" s="50"/>
      <c r="F276" s="50"/>
      <c r="G276" s="50"/>
      <c r="H276" s="50"/>
      <c r="I276" s="52"/>
    </row>
    <row r="277" spans="1:9" s="2" customFormat="1" ht="12">
      <c r="A277" s="44"/>
      <c r="B277" s="44"/>
      <c r="C277" s="44"/>
      <c r="D277" s="44"/>
      <c r="E277" s="44"/>
      <c r="F277" s="44"/>
      <c r="G277" s="44"/>
      <c r="H277" s="44"/>
      <c r="I277" s="45"/>
    </row>
    <row r="278" spans="1:9" s="2" customFormat="1" ht="12">
      <c r="A278" s="2" t="s">
        <v>38</v>
      </c>
      <c r="B278" s="40">
        <v>2</v>
      </c>
      <c r="C278" s="2" t="s">
        <v>128</v>
      </c>
      <c r="G278" s="18">
        <v>120</v>
      </c>
      <c r="H278" s="5"/>
      <c r="I278" s="41">
        <f t="shared" ref="I278:I287" si="14">G278*B278</f>
        <v>240</v>
      </c>
    </row>
    <row r="279" spans="1:9" s="2" customFormat="1" ht="12">
      <c r="A279" s="2" t="s">
        <v>39</v>
      </c>
      <c r="B279" s="40">
        <v>2</v>
      </c>
      <c r="C279" s="2" t="s">
        <v>129</v>
      </c>
      <c r="G279" s="18">
        <v>58</v>
      </c>
      <c r="H279" s="5"/>
      <c r="I279" s="41">
        <f t="shared" si="14"/>
        <v>116</v>
      </c>
    </row>
    <row r="280" spans="1:9" s="2" customFormat="1" ht="12">
      <c r="A280" s="2" t="s">
        <v>40</v>
      </c>
      <c r="B280" s="40">
        <v>2</v>
      </c>
      <c r="C280" s="2" t="s">
        <v>86</v>
      </c>
      <c r="G280" s="18">
        <v>245</v>
      </c>
      <c r="H280" s="5"/>
      <c r="I280" s="41">
        <f t="shared" si="14"/>
        <v>490</v>
      </c>
    </row>
    <row r="281" spans="1:9" s="2" customFormat="1" ht="12">
      <c r="A281" s="2" t="s">
        <v>41</v>
      </c>
      <c r="B281" s="10">
        <v>3</v>
      </c>
      <c r="C281" s="20" t="s">
        <v>185</v>
      </c>
      <c r="D281" s="12"/>
      <c r="E281" s="29"/>
      <c r="F281" s="12"/>
      <c r="G281" s="46">
        <v>68</v>
      </c>
      <c r="H281" s="46"/>
      <c r="I281" s="41">
        <f t="shared" si="14"/>
        <v>204</v>
      </c>
    </row>
    <row r="282" spans="1:9" s="2" customFormat="1" ht="12">
      <c r="A282" s="11" t="s">
        <v>42</v>
      </c>
      <c r="B282" s="10">
        <v>2</v>
      </c>
      <c r="C282" s="2" t="s">
        <v>215</v>
      </c>
      <c r="D282" s="12"/>
      <c r="E282" s="29"/>
      <c r="F282" s="12"/>
      <c r="G282" s="46">
        <v>210</v>
      </c>
      <c r="H282" s="46"/>
      <c r="I282" s="41">
        <f t="shared" si="14"/>
        <v>420</v>
      </c>
    </row>
    <row r="283" spans="1:9" s="2" customFormat="1" ht="12">
      <c r="A283" s="11" t="s">
        <v>48</v>
      </c>
      <c r="B283" s="10">
        <v>1</v>
      </c>
      <c r="C283" s="20" t="s">
        <v>87</v>
      </c>
      <c r="D283" s="12"/>
      <c r="E283" s="29"/>
      <c r="F283" s="12"/>
      <c r="G283" s="46">
        <v>48</v>
      </c>
      <c r="H283" s="46"/>
      <c r="I283" s="41">
        <f t="shared" si="14"/>
        <v>48</v>
      </c>
    </row>
    <row r="284" spans="1:9" s="2" customFormat="1" ht="12">
      <c r="A284" s="11" t="s">
        <v>49</v>
      </c>
      <c r="B284" s="10">
        <v>2</v>
      </c>
      <c r="C284" s="20" t="s">
        <v>130</v>
      </c>
      <c r="D284" s="12"/>
      <c r="E284" s="29"/>
      <c r="F284" s="12"/>
      <c r="G284" s="46">
        <v>48</v>
      </c>
      <c r="H284" s="46"/>
      <c r="I284" s="41">
        <f t="shared" si="14"/>
        <v>96</v>
      </c>
    </row>
    <row r="285" spans="1:9" s="2" customFormat="1" ht="12">
      <c r="A285" s="11" t="s">
        <v>50</v>
      </c>
      <c r="B285" s="10">
        <v>1</v>
      </c>
      <c r="C285" s="20" t="s">
        <v>115</v>
      </c>
      <c r="D285" s="12"/>
      <c r="E285" s="29"/>
      <c r="F285" s="12"/>
      <c r="G285" s="46">
        <v>48</v>
      </c>
      <c r="H285" s="46"/>
      <c r="I285" s="41">
        <f t="shared" si="14"/>
        <v>48</v>
      </c>
    </row>
    <row r="286" spans="1:9" s="2" customFormat="1" ht="12">
      <c r="A286" s="11" t="s">
        <v>51</v>
      </c>
      <c r="B286" s="10">
        <v>1</v>
      </c>
      <c r="C286" s="20" t="s">
        <v>131</v>
      </c>
      <c r="D286" s="12"/>
      <c r="E286" s="29"/>
      <c r="F286" s="12"/>
      <c r="G286" s="46">
        <v>195</v>
      </c>
      <c r="H286" s="46"/>
      <c r="I286" s="41">
        <f t="shared" si="14"/>
        <v>195</v>
      </c>
    </row>
    <row r="287" spans="1:9" s="2" customFormat="1" ht="12">
      <c r="A287" s="11" t="s">
        <v>52</v>
      </c>
      <c r="B287" s="10">
        <v>2</v>
      </c>
      <c r="C287" s="20" t="s">
        <v>190</v>
      </c>
      <c r="D287" s="12"/>
      <c r="E287" s="29"/>
      <c r="F287" s="12"/>
      <c r="G287" s="46">
        <v>78</v>
      </c>
      <c r="H287" s="46"/>
      <c r="I287" s="41">
        <f t="shared" si="14"/>
        <v>156</v>
      </c>
    </row>
    <row r="288" spans="1:9" s="2" customFormat="1" ht="12">
      <c r="A288" s="11"/>
      <c r="B288" s="10"/>
      <c r="C288" s="20"/>
      <c r="D288" s="12"/>
      <c r="E288" s="29"/>
      <c r="F288" s="12"/>
      <c r="G288" s="46"/>
      <c r="H288" s="46"/>
      <c r="I288" s="35"/>
    </row>
    <row r="289" spans="1:9" s="2" customFormat="1" ht="12">
      <c r="A289" s="49" t="s">
        <v>132</v>
      </c>
      <c r="B289" s="49"/>
      <c r="C289" s="49"/>
      <c r="D289" s="49"/>
      <c r="E289" s="49"/>
      <c r="F289" s="49"/>
      <c r="G289" s="49"/>
      <c r="H289" s="49"/>
      <c r="I289" s="51">
        <f>SUM(I292:I301)</f>
        <v>1905</v>
      </c>
    </row>
    <row r="290" spans="1:9" s="2" customFormat="1" ht="12">
      <c r="A290" s="50"/>
      <c r="B290" s="50"/>
      <c r="C290" s="50"/>
      <c r="D290" s="50"/>
      <c r="E290" s="50"/>
      <c r="F290" s="50"/>
      <c r="G290" s="50"/>
      <c r="H290" s="50"/>
      <c r="I290" s="52"/>
    </row>
    <row r="291" spans="1:9" s="2" customFormat="1" ht="12">
      <c r="A291" s="44"/>
      <c r="B291" s="44"/>
      <c r="C291" s="44"/>
      <c r="D291" s="44"/>
      <c r="E291" s="44"/>
      <c r="F291" s="44"/>
      <c r="G291" s="44"/>
      <c r="H291" s="44"/>
      <c r="I291" s="45"/>
    </row>
    <row r="292" spans="1:9" s="2" customFormat="1" ht="12">
      <c r="A292" s="2" t="s">
        <v>38</v>
      </c>
      <c r="B292" s="40">
        <v>2</v>
      </c>
      <c r="C292" s="2" t="s">
        <v>128</v>
      </c>
      <c r="G292" s="18">
        <v>120</v>
      </c>
      <c r="H292" s="5"/>
      <c r="I292" s="41">
        <f t="shared" ref="I292:I299" si="15">G292*B292</f>
        <v>240</v>
      </c>
    </row>
    <row r="293" spans="1:9" s="2" customFormat="1" ht="12">
      <c r="A293" s="2" t="s">
        <v>39</v>
      </c>
      <c r="B293" s="40">
        <v>2</v>
      </c>
      <c r="C293" s="2" t="s">
        <v>129</v>
      </c>
      <c r="G293" s="18">
        <v>58</v>
      </c>
      <c r="H293" s="5"/>
      <c r="I293" s="41">
        <f t="shared" si="15"/>
        <v>116</v>
      </c>
    </row>
    <row r="294" spans="1:9" s="2" customFormat="1" ht="12">
      <c r="A294" s="2" t="s">
        <v>40</v>
      </c>
      <c r="B294" s="40">
        <v>2</v>
      </c>
      <c r="C294" s="2" t="s">
        <v>86</v>
      </c>
      <c r="G294" s="18">
        <v>245</v>
      </c>
      <c r="H294" s="5"/>
      <c r="I294" s="41">
        <f t="shared" si="15"/>
        <v>490</v>
      </c>
    </row>
    <row r="295" spans="1:9" s="2" customFormat="1" ht="12">
      <c r="A295" s="2" t="s">
        <v>41</v>
      </c>
      <c r="B295" s="10">
        <v>3</v>
      </c>
      <c r="C295" s="20" t="s">
        <v>185</v>
      </c>
      <c r="D295" s="12"/>
      <c r="E295" s="29"/>
      <c r="F295" s="12"/>
      <c r="G295" s="46">
        <v>68</v>
      </c>
      <c r="H295" s="46"/>
      <c r="I295" s="41">
        <f t="shared" si="15"/>
        <v>204</v>
      </c>
    </row>
    <row r="296" spans="1:9" s="2" customFormat="1" ht="12">
      <c r="A296" s="11" t="s">
        <v>42</v>
      </c>
      <c r="B296" s="10">
        <v>2</v>
      </c>
      <c r="C296" s="2" t="s">
        <v>215</v>
      </c>
      <c r="D296" s="12"/>
      <c r="E296" s="29"/>
      <c r="F296" s="12"/>
      <c r="G296" s="46">
        <v>210</v>
      </c>
      <c r="H296" s="46"/>
      <c r="I296" s="41">
        <f t="shared" si="15"/>
        <v>420</v>
      </c>
    </row>
    <row r="297" spans="1:9" s="2" customFormat="1" ht="12">
      <c r="A297" s="11" t="s">
        <v>48</v>
      </c>
      <c r="B297" s="10">
        <v>1</v>
      </c>
      <c r="C297" s="20" t="s">
        <v>87</v>
      </c>
      <c r="D297" s="12"/>
      <c r="E297" s="29"/>
      <c r="F297" s="12"/>
      <c r="G297" s="46">
        <v>48</v>
      </c>
      <c r="H297" s="46"/>
      <c r="I297" s="41">
        <f t="shared" si="15"/>
        <v>48</v>
      </c>
    </row>
    <row r="298" spans="1:9" s="2" customFormat="1" ht="12">
      <c r="A298" s="11" t="s">
        <v>49</v>
      </c>
      <c r="B298" s="10">
        <v>2</v>
      </c>
      <c r="C298" s="20" t="s">
        <v>130</v>
      </c>
      <c r="D298" s="12"/>
      <c r="E298" s="29"/>
      <c r="F298" s="12"/>
      <c r="G298" s="46">
        <v>48</v>
      </c>
      <c r="H298" s="46"/>
      <c r="I298" s="41">
        <f t="shared" si="15"/>
        <v>96</v>
      </c>
    </row>
    <row r="299" spans="1:9" s="2" customFormat="1" ht="12">
      <c r="A299" s="11" t="s">
        <v>50</v>
      </c>
      <c r="B299" s="12">
        <v>1</v>
      </c>
      <c r="C299" s="2" t="s">
        <v>133</v>
      </c>
      <c r="G299" s="18">
        <v>48</v>
      </c>
      <c r="H299" s="18"/>
      <c r="I299" s="18">
        <f t="shared" si="15"/>
        <v>48</v>
      </c>
    </row>
    <row r="300" spans="1:9" s="2" customFormat="1" ht="12">
      <c r="A300" s="11" t="s">
        <v>51</v>
      </c>
      <c r="B300" s="10">
        <v>1</v>
      </c>
      <c r="C300" s="20" t="s">
        <v>115</v>
      </c>
      <c r="D300" s="12"/>
      <c r="E300" s="29"/>
      <c r="F300" s="12"/>
      <c r="G300" s="46">
        <v>48</v>
      </c>
      <c r="H300" s="46"/>
      <c r="I300" s="41">
        <f>G300*B300</f>
        <v>48</v>
      </c>
    </row>
    <row r="301" spans="1:9" s="2" customFormat="1" ht="12">
      <c r="A301" s="11" t="s">
        <v>52</v>
      </c>
      <c r="B301" s="10">
        <v>1</v>
      </c>
      <c r="C301" s="20" t="s">
        <v>131</v>
      </c>
      <c r="D301" s="12"/>
      <c r="E301" s="29"/>
      <c r="F301" s="12"/>
      <c r="G301" s="46">
        <v>195</v>
      </c>
      <c r="H301" s="46"/>
      <c r="I301" s="41">
        <f>G301*B301</f>
        <v>195</v>
      </c>
    </row>
    <row r="302" spans="1:9" s="2" customFormat="1" ht="12">
      <c r="A302" s="11"/>
      <c r="B302" s="10"/>
      <c r="C302" s="20"/>
      <c r="D302" s="12"/>
      <c r="E302" s="29"/>
      <c r="F302" s="12"/>
      <c r="G302" s="46"/>
      <c r="H302" s="46"/>
      <c r="I302" s="41"/>
    </row>
    <row r="303" spans="1:9" s="2" customFormat="1" ht="12">
      <c r="A303" s="49" t="s">
        <v>134</v>
      </c>
      <c r="B303" s="49"/>
      <c r="C303" s="49"/>
      <c r="D303" s="49"/>
      <c r="E303" s="49"/>
      <c r="F303" s="49"/>
      <c r="G303" s="49"/>
      <c r="H303" s="49"/>
      <c r="I303" s="51">
        <f>SUM(I306:I315)</f>
        <v>1905</v>
      </c>
    </row>
    <row r="304" spans="1:9" s="2" customFormat="1" ht="12">
      <c r="A304" s="50"/>
      <c r="B304" s="50"/>
      <c r="C304" s="50"/>
      <c r="D304" s="50"/>
      <c r="E304" s="50"/>
      <c r="F304" s="50"/>
      <c r="G304" s="50"/>
      <c r="H304" s="50"/>
      <c r="I304" s="52"/>
    </row>
    <row r="305" spans="1:9" s="2" customFormat="1" ht="12">
      <c r="A305" s="44"/>
      <c r="B305" s="44"/>
      <c r="C305" s="44"/>
      <c r="D305" s="44"/>
      <c r="E305" s="44"/>
      <c r="F305" s="44"/>
      <c r="G305" s="44"/>
      <c r="H305" s="44"/>
      <c r="I305" s="45"/>
    </row>
    <row r="306" spans="1:9" s="2" customFormat="1" ht="12">
      <c r="A306" s="2" t="s">
        <v>38</v>
      </c>
      <c r="B306" s="40">
        <v>2</v>
      </c>
      <c r="C306" s="2" t="s">
        <v>128</v>
      </c>
      <c r="G306" s="18">
        <v>120</v>
      </c>
      <c r="H306" s="5"/>
      <c r="I306" s="41">
        <f t="shared" ref="I306:I313" si="16">G306*B306</f>
        <v>240</v>
      </c>
    </row>
    <row r="307" spans="1:9" s="2" customFormat="1" ht="12">
      <c r="A307" s="2" t="s">
        <v>39</v>
      </c>
      <c r="B307" s="40">
        <v>2</v>
      </c>
      <c r="C307" s="2" t="s">
        <v>129</v>
      </c>
      <c r="G307" s="18">
        <v>58</v>
      </c>
      <c r="H307" s="5"/>
      <c r="I307" s="41">
        <f t="shared" si="16"/>
        <v>116</v>
      </c>
    </row>
    <row r="308" spans="1:9" s="2" customFormat="1" ht="12">
      <c r="A308" s="2" t="s">
        <v>40</v>
      </c>
      <c r="B308" s="40">
        <v>2</v>
      </c>
      <c r="C308" s="2" t="s">
        <v>86</v>
      </c>
      <c r="G308" s="18">
        <v>245</v>
      </c>
      <c r="H308" s="5"/>
      <c r="I308" s="41">
        <f t="shared" si="16"/>
        <v>490</v>
      </c>
    </row>
    <row r="309" spans="1:9" s="2" customFormat="1" ht="12">
      <c r="A309" s="2" t="s">
        <v>41</v>
      </c>
      <c r="B309" s="10">
        <v>3</v>
      </c>
      <c r="C309" s="20" t="s">
        <v>185</v>
      </c>
      <c r="D309" s="12"/>
      <c r="E309" s="29"/>
      <c r="F309" s="12"/>
      <c r="G309" s="46">
        <v>68</v>
      </c>
      <c r="H309" s="46"/>
      <c r="I309" s="41">
        <f t="shared" si="16"/>
        <v>204</v>
      </c>
    </row>
    <row r="310" spans="1:9" s="2" customFormat="1" ht="12">
      <c r="A310" s="11" t="s">
        <v>42</v>
      </c>
      <c r="B310" s="10">
        <v>2</v>
      </c>
      <c r="C310" s="2" t="s">
        <v>215</v>
      </c>
      <c r="D310" s="12"/>
      <c r="E310" s="29"/>
      <c r="F310" s="12"/>
      <c r="G310" s="46">
        <v>210</v>
      </c>
      <c r="H310" s="46"/>
      <c r="I310" s="41">
        <f t="shared" si="16"/>
        <v>420</v>
      </c>
    </row>
    <row r="311" spans="1:9" s="2" customFormat="1" ht="12">
      <c r="A311" s="11" t="s">
        <v>48</v>
      </c>
      <c r="B311" s="10">
        <v>1</v>
      </c>
      <c r="C311" s="20" t="s">
        <v>87</v>
      </c>
      <c r="D311" s="12"/>
      <c r="E311" s="29"/>
      <c r="F311" s="12"/>
      <c r="G311" s="46">
        <v>48</v>
      </c>
      <c r="H311" s="46"/>
      <c r="I311" s="41">
        <f t="shared" si="16"/>
        <v>48</v>
      </c>
    </row>
    <row r="312" spans="1:9" s="2" customFormat="1" ht="12">
      <c r="A312" s="11" t="s">
        <v>49</v>
      </c>
      <c r="B312" s="10">
        <v>2</v>
      </c>
      <c r="C312" s="20" t="s">
        <v>130</v>
      </c>
      <c r="D312" s="12"/>
      <c r="E312" s="29"/>
      <c r="F312" s="12"/>
      <c r="G312" s="46">
        <v>48</v>
      </c>
      <c r="H312" s="46"/>
      <c r="I312" s="41">
        <f t="shared" si="16"/>
        <v>96</v>
      </c>
    </row>
    <row r="313" spans="1:9" s="2" customFormat="1" ht="12">
      <c r="A313" s="11" t="s">
        <v>50</v>
      </c>
      <c r="B313" s="12">
        <v>1</v>
      </c>
      <c r="C313" s="2" t="s">
        <v>133</v>
      </c>
      <c r="G313" s="18">
        <v>48</v>
      </c>
      <c r="H313" s="18"/>
      <c r="I313" s="18">
        <f t="shared" si="16"/>
        <v>48</v>
      </c>
    </row>
    <row r="314" spans="1:9" s="2" customFormat="1" ht="12">
      <c r="A314" s="11" t="s">
        <v>51</v>
      </c>
      <c r="B314" s="10">
        <v>1</v>
      </c>
      <c r="C314" s="20" t="s">
        <v>115</v>
      </c>
      <c r="D314" s="12"/>
      <c r="E314" s="29"/>
      <c r="F314" s="12"/>
      <c r="G314" s="46">
        <v>48</v>
      </c>
      <c r="H314" s="46"/>
      <c r="I314" s="41">
        <f>G314*B314</f>
        <v>48</v>
      </c>
    </row>
    <row r="315" spans="1:9" s="2" customFormat="1" ht="12">
      <c r="A315" s="11" t="s">
        <v>52</v>
      </c>
      <c r="B315" s="10">
        <v>1</v>
      </c>
      <c r="C315" s="20" t="s">
        <v>131</v>
      </c>
      <c r="D315" s="12"/>
      <c r="E315" s="29"/>
      <c r="F315" s="12"/>
      <c r="G315" s="46">
        <v>195</v>
      </c>
      <c r="H315" s="46"/>
      <c r="I315" s="41">
        <f>G315*B315</f>
        <v>195</v>
      </c>
    </row>
    <row r="316" spans="1:9" s="2" customFormat="1" ht="12">
      <c r="A316" s="11"/>
      <c r="B316" s="10"/>
      <c r="C316" s="20"/>
      <c r="D316" s="12"/>
      <c r="E316" s="29"/>
      <c r="F316" s="12"/>
      <c r="G316" s="46"/>
      <c r="H316" s="46"/>
      <c r="I316" s="41"/>
    </row>
    <row r="317" spans="1:9" s="2" customFormat="1" ht="12">
      <c r="A317" s="11"/>
      <c r="B317" s="10"/>
      <c r="C317" s="20"/>
      <c r="D317" s="12"/>
      <c r="E317" s="29"/>
      <c r="F317" s="12"/>
      <c r="G317" s="46"/>
      <c r="H317" s="46"/>
      <c r="I317" s="41"/>
    </row>
    <row r="318" spans="1:9" s="2" customFormat="1" ht="12">
      <c r="A318" s="11"/>
    </row>
    <row r="319" spans="1:9" s="2" customFormat="1" ht="12">
      <c r="A319" s="11" t="s">
        <v>33</v>
      </c>
      <c r="B319" s="10"/>
      <c r="C319" s="20"/>
      <c r="D319" s="12"/>
      <c r="E319" s="29" t="s">
        <v>34</v>
      </c>
      <c r="F319" s="12" t="str">
        <f>D7</f>
        <v>2211AM01S</v>
      </c>
      <c r="G319" s="53" t="str">
        <f>D11</f>
        <v>AM FAIRMOUNT</v>
      </c>
      <c r="H319" s="53"/>
      <c r="I319" s="35" t="s">
        <v>135</v>
      </c>
    </row>
    <row r="320" spans="1:9" s="2" customFormat="1" ht="12">
      <c r="A320" s="11"/>
      <c r="B320" s="10"/>
      <c r="C320" s="20"/>
      <c r="D320" s="12"/>
      <c r="E320" s="29"/>
      <c r="F320" s="12"/>
      <c r="G320" s="46"/>
      <c r="H320" s="46"/>
      <c r="I320" s="41"/>
    </row>
    <row r="321" spans="1:9" s="2" customFormat="1" ht="12">
      <c r="A321" s="49" t="s">
        <v>191</v>
      </c>
      <c r="B321" s="49"/>
      <c r="C321" s="49"/>
      <c r="D321" s="49"/>
      <c r="E321" s="49"/>
      <c r="F321" s="49"/>
      <c r="G321" s="49"/>
      <c r="H321" s="49"/>
      <c r="I321" s="51">
        <f>SUM(I324:I333)</f>
        <v>1905</v>
      </c>
    </row>
    <row r="322" spans="1:9" s="2" customFormat="1" ht="12">
      <c r="A322" s="50"/>
      <c r="B322" s="50"/>
      <c r="C322" s="50"/>
      <c r="D322" s="50"/>
      <c r="E322" s="50"/>
      <c r="F322" s="50"/>
      <c r="G322" s="50"/>
      <c r="H322" s="50"/>
      <c r="I322" s="52"/>
    </row>
    <row r="323" spans="1:9" s="2" customFormat="1" ht="12">
      <c r="A323" s="44"/>
      <c r="B323" s="44"/>
      <c r="C323" s="44"/>
      <c r="D323" s="44"/>
      <c r="E323" s="44"/>
      <c r="F323" s="44"/>
      <c r="G323" s="44"/>
      <c r="H323" s="44"/>
      <c r="I323" s="45"/>
    </row>
    <row r="324" spans="1:9" s="2" customFormat="1" ht="12">
      <c r="A324" s="2" t="s">
        <v>38</v>
      </c>
      <c r="B324" s="40">
        <v>2</v>
      </c>
      <c r="C324" s="2" t="s">
        <v>128</v>
      </c>
      <c r="G324" s="18">
        <v>120</v>
      </c>
      <c r="H324" s="5"/>
      <c r="I324" s="41">
        <f t="shared" ref="I324:I331" si="17">G324*B324</f>
        <v>240</v>
      </c>
    </row>
    <row r="325" spans="1:9" s="2" customFormat="1" ht="12">
      <c r="A325" s="2" t="s">
        <v>39</v>
      </c>
      <c r="B325" s="40">
        <v>2</v>
      </c>
      <c r="C325" s="2" t="s">
        <v>129</v>
      </c>
      <c r="G325" s="18">
        <v>58</v>
      </c>
      <c r="H325" s="5"/>
      <c r="I325" s="41">
        <f t="shared" si="17"/>
        <v>116</v>
      </c>
    </row>
    <row r="326" spans="1:9" s="2" customFormat="1" ht="12">
      <c r="A326" s="2" t="s">
        <v>40</v>
      </c>
      <c r="B326" s="40">
        <v>2</v>
      </c>
      <c r="C326" s="2" t="s">
        <v>86</v>
      </c>
      <c r="G326" s="18">
        <v>245</v>
      </c>
      <c r="H326" s="5"/>
      <c r="I326" s="41">
        <f t="shared" si="17"/>
        <v>490</v>
      </c>
    </row>
    <row r="327" spans="1:9" s="2" customFormat="1" ht="12">
      <c r="A327" s="2" t="s">
        <v>41</v>
      </c>
      <c r="B327" s="10">
        <v>3</v>
      </c>
      <c r="C327" s="20" t="s">
        <v>185</v>
      </c>
      <c r="D327" s="12"/>
      <c r="E327" s="29"/>
      <c r="F327" s="12"/>
      <c r="G327" s="46">
        <v>68</v>
      </c>
      <c r="H327" s="46"/>
      <c r="I327" s="41">
        <f t="shared" si="17"/>
        <v>204</v>
      </c>
    </row>
    <row r="328" spans="1:9" s="2" customFormat="1" ht="12">
      <c r="A328" s="11" t="s">
        <v>42</v>
      </c>
      <c r="B328" s="10">
        <v>2</v>
      </c>
      <c r="C328" s="2" t="s">
        <v>215</v>
      </c>
      <c r="D328" s="12"/>
      <c r="E328" s="29"/>
      <c r="F328" s="12"/>
      <c r="G328" s="46">
        <v>210</v>
      </c>
      <c r="H328" s="46"/>
      <c r="I328" s="41">
        <f t="shared" si="17"/>
        <v>420</v>
      </c>
    </row>
    <row r="329" spans="1:9" s="2" customFormat="1" ht="12">
      <c r="A329" s="11" t="s">
        <v>48</v>
      </c>
      <c r="B329" s="10">
        <v>1</v>
      </c>
      <c r="C329" s="20" t="s">
        <v>87</v>
      </c>
      <c r="D329" s="12"/>
      <c r="E329" s="29"/>
      <c r="F329" s="12"/>
      <c r="G329" s="46">
        <v>48</v>
      </c>
      <c r="H329" s="46"/>
      <c r="I329" s="41">
        <f t="shared" si="17"/>
        <v>48</v>
      </c>
    </row>
    <row r="330" spans="1:9" s="2" customFormat="1" ht="12">
      <c r="A330" s="11" t="s">
        <v>49</v>
      </c>
      <c r="B330" s="10">
        <v>2</v>
      </c>
      <c r="C330" s="20" t="s">
        <v>130</v>
      </c>
      <c r="D330" s="12"/>
      <c r="E330" s="29"/>
      <c r="F330" s="12"/>
      <c r="G330" s="46">
        <v>48</v>
      </c>
      <c r="H330" s="46"/>
      <c r="I330" s="41">
        <f t="shared" si="17"/>
        <v>96</v>
      </c>
    </row>
    <row r="331" spans="1:9" s="2" customFormat="1" ht="12">
      <c r="A331" s="11" t="s">
        <v>50</v>
      </c>
      <c r="B331" s="12">
        <v>1</v>
      </c>
      <c r="C331" s="2" t="s">
        <v>133</v>
      </c>
      <c r="G331" s="18">
        <v>48</v>
      </c>
      <c r="H331" s="18"/>
      <c r="I331" s="18">
        <f t="shared" si="17"/>
        <v>48</v>
      </c>
    </row>
    <row r="332" spans="1:9" s="2" customFormat="1" ht="12">
      <c r="A332" s="11" t="s">
        <v>51</v>
      </c>
      <c r="B332" s="10">
        <v>1</v>
      </c>
      <c r="C332" s="20" t="s">
        <v>115</v>
      </c>
      <c r="D332" s="12"/>
      <c r="E332" s="29"/>
      <c r="F332" s="12"/>
      <c r="G332" s="46">
        <v>48</v>
      </c>
      <c r="H332" s="46"/>
      <c r="I332" s="41">
        <f>G332*B332</f>
        <v>48</v>
      </c>
    </row>
    <row r="333" spans="1:9" s="2" customFormat="1" ht="12">
      <c r="A333" s="11" t="s">
        <v>52</v>
      </c>
      <c r="B333" s="10">
        <v>1</v>
      </c>
      <c r="C333" s="20" t="s">
        <v>131</v>
      </c>
      <c r="D333" s="12"/>
      <c r="E333" s="29"/>
      <c r="F333" s="12"/>
      <c r="G333" s="46">
        <v>195</v>
      </c>
      <c r="H333" s="46"/>
      <c r="I333" s="41">
        <f>G333*B333</f>
        <v>195</v>
      </c>
    </row>
    <row r="334" spans="1:9" s="2" customFormat="1" ht="12">
      <c r="A334" s="11"/>
    </row>
    <row r="335" spans="1:9" s="2" customFormat="1" ht="12">
      <c r="A335" s="49" t="s">
        <v>192</v>
      </c>
      <c r="B335" s="49"/>
      <c r="C335" s="49"/>
      <c r="D335" s="49"/>
      <c r="E335" s="49"/>
      <c r="F335" s="49"/>
      <c r="G335" s="49"/>
      <c r="H335" s="49"/>
      <c r="I335" s="51">
        <f>SUM(I337:I347)</f>
        <v>1905</v>
      </c>
    </row>
    <row r="336" spans="1:9" s="2" customFormat="1" ht="12">
      <c r="A336" s="50"/>
      <c r="B336" s="50"/>
      <c r="C336" s="50"/>
      <c r="D336" s="50"/>
      <c r="E336" s="50"/>
      <c r="F336" s="50"/>
      <c r="G336" s="50"/>
      <c r="H336" s="50"/>
      <c r="I336" s="52"/>
    </row>
    <row r="337" spans="1:9" s="2" customFormat="1" ht="12">
      <c r="B337" s="40"/>
      <c r="C337" s="43"/>
      <c r="G337" s="18"/>
      <c r="H337" s="5"/>
      <c r="I337" s="41"/>
    </row>
    <row r="338" spans="1:9" s="2" customFormat="1" ht="12">
      <c r="A338" s="2" t="s">
        <v>38</v>
      </c>
      <c r="B338" s="40">
        <v>2</v>
      </c>
      <c r="C338" s="2" t="s">
        <v>128</v>
      </c>
      <c r="G338" s="18">
        <v>120</v>
      </c>
      <c r="H338" s="5"/>
      <c r="I338" s="41">
        <f t="shared" ref="I338:I345" si="18">G338*B338</f>
        <v>240</v>
      </c>
    </row>
    <row r="339" spans="1:9" s="2" customFormat="1" ht="12">
      <c r="A339" s="2" t="s">
        <v>39</v>
      </c>
      <c r="B339" s="40">
        <v>2</v>
      </c>
      <c r="C339" s="2" t="s">
        <v>129</v>
      </c>
      <c r="G339" s="18">
        <v>58</v>
      </c>
      <c r="H339" s="5"/>
      <c r="I339" s="41">
        <f t="shared" si="18"/>
        <v>116</v>
      </c>
    </row>
    <row r="340" spans="1:9" s="2" customFormat="1" ht="12">
      <c r="A340" s="2" t="s">
        <v>40</v>
      </c>
      <c r="B340" s="40">
        <v>2</v>
      </c>
      <c r="C340" s="2" t="s">
        <v>86</v>
      </c>
      <c r="G340" s="18">
        <v>245</v>
      </c>
      <c r="H340" s="5"/>
      <c r="I340" s="41">
        <f t="shared" si="18"/>
        <v>490</v>
      </c>
    </row>
    <row r="341" spans="1:9" s="2" customFormat="1" ht="12">
      <c r="A341" s="2" t="s">
        <v>41</v>
      </c>
      <c r="B341" s="10">
        <v>3</v>
      </c>
      <c r="C341" s="20" t="s">
        <v>185</v>
      </c>
      <c r="D341" s="12"/>
      <c r="E341" s="29"/>
      <c r="F341" s="12"/>
      <c r="G341" s="46">
        <v>68</v>
      </c>
      <c r="H341" s="46"/>
      <c r="I341" s="41">
        <f t="shared" si="18"/>
        <v>204</v>
      </c>
    </row>
    <row r="342" spans="1:9" s="2" customFormat="1" ht="12">
      <c r="A342" s="11" t="s">
        <v>42</v>
      </c>
      <c r="B342" s="10">
        <v>2</v>
      </c>
      <c r="C342" s="2" t="s">
        <v>215</v>
      </c>
      <c r="D342" s="12"/>
      <c r="E342" s="29"/>
      <c r="F342" s="12"/>
      <c r="G342" s="46">
        <v>210</v>
      </c>
      <c r="H342" s="46"/>
      <c r="I342" s="41">
        <f t="shared" si="18"/>
        <v>420</v>
      </c>
    </row>
    <row r="343" spans="1:9" s="2" customFormat="1" ht="12">
      <c r="A343" s="11" t="s">
        <v>48</v>
      </c>
      <c r="B343" s="10">
        <v>1</v>
      </c>
      <c r="C343" s="20" t="s">
        <v>87</v>
      </c>
      <c r="D343" s="12"/>
      <c r="E343" s="29"/>
      <c r="F343" s="12"/>
      <c r="G343" s="46">
        <v>48</v>
      </c>
      <c r="H343" s="46"/>
      <c r="I343" s="41">
        <f t="shared" si="18"/>
        <v>48</v>
      </c>
    </row>
    <row r="344" spans="1:9" s="2" customFormat="1" ht="12">
      <c r="A344" s="11" t="s">
        <v>49</v>
      </c>
      <c r="B344" s="10">
        <v>2</v>
      </c>
      <c r="C344" s="20" t="s">
        <v>130</v>
      </c>
      <c r="D344" s="12"/>
      <c r="E344" s="29"/>
      <c r="F344" s="12"/>
      <c r="G344" s="46">
        <v>48</v>
      </c>
      <c r="H344" s="46"/>
      <c r="I344" s="41">
        <f t="shared" si="18"/>
        <v>96</v>
      </c>
    </row>
    <row r="345" spans="1:9" s="2" customFormat="1" ht="12">
      <c r="A345" s="11" t="s">
        <v>50</v>
      </c>
      <c r="B345" s="12">
        <v>1</v>
      </c>
      <c r="C345" s="2" t="s">
        <v>133</v>
      </c>
      <c r="G345" s="18">
        <v>48</v>
      </c>
      <c r="H345" s="18"/>
      <c r="I345" s="18">
        <f t="shared" si="18"/>
        <v>48</v>
      </c>
    </row>
    <row r="346" spans="1:9" s="2" customFormat="1" ht="12">
      <c r="A346" s="11" t="s">
        <v>51</v>
      </c>
      <c r="B346" s="10">
        <v>1</v>
      </c>
      <c r="C346" s="20" t="s">
        <v>115</v>
      </c>
      <c r="D346" s="12"/>
      <c r="E346" s="29"/>
      <c r="F346" s="12"/>
      <c r="G346" s="46">
        <v>48</v>
      </c>
      <c r="H346" s="46"/>
      <c r="I346" s="41">
        <f>G346*B346</f>
        <v>48</v>
      </c>
    </row>
    <row r="347" spans="1:9" s="2" customFormat="1" ht="12">
      <c r="A347" s="11" t="s">
        <v>52</v>
      </c>
      <c r="B347" s="10">
        <v>1</v>
      </c>
      <c r="C347" s="20" t="s">
        <v>131</v>
      </c>
      <c r="D347" s="12"/>
      <c r="E347" s="29"/>
      <c r="F347" s="12"/>
      <c r="G347" s="46">
        <v>195</v>
      </c>
      <c r="H347" s="46"/>
      <c r="I347" s="41">
        <f>G347*B347</f>
        <v>195</v>
      </c>
    </row>
    <row r="348" spans="1:9" s="2" customFormat="1" ht="12">
      <c r="A348" s="11"/>
      <c r="B348" s="10"/>
      <c r="C348" s="20"/>
      <c r="D348" s="12"/>
      <c r="E348" s="29"/>
      <c r="F348" s="12"/>
      <c r="G348" s="46"/>
      <c r="H348" s="46"/>
      <c r="I348" s="41"/>
    </row>
    <row r="349" spans="1:9" s="2" customFormat="1" ht="12">
      <c r="A349" s="49" t="s">
        <v>193</v>
      </c>
      <c r="B349" s="49"/>
      <c r="C349" s="49"/>
      <c r="D349" s="49"/>
      <c r="E349" s="49"/>
      <c r="F349" s="49"/>
      <c r="G349" s="49"/>
      <c r="H349" s="49"/>
      <c r="I349" s="51">
        <f>SUM(I352:I362)</f>
        <v>1953</v>
      </c>
    </row>
    <row r="350" spans="1:9" s="2" customFormat="1" ht="12">
      <c r="A350" s="50"/>
      <c r="B350" s="50"/>
      <c r="C350" s="50"/>
      <c r="D350" s="50"/>
      <c r="E350" s="50"/>
      <c r="F350" s="50"/>
      <c r="G350" s="50"/>
      <c r="H350" s="50"/>
      <c r="I350" s="52"/>
    </row>
    <row r="351" spans="1:9" s="2" customFormat="1" ht="12">
      <c r="A351" s="44"/>
      <c r="B351" s="44"/>
      <c r="C351" s="44"/>
      <c r="D351" s="44"/>
      <c r="E351" s="44"/>
      <c r="F351" s="44"/>
      <c r="G351" s="44"/>
      <c r="H351" s="44"/>
      <c r="I351" s="45"/>
    </row>
    <row r="352" spans="1:9" s="2" customFormat="1" ht="12">
      <c r="A352" s="2" t="s">
        <v>38</v>
      </c>
      <c r="B352" s="40">
        <v>2</v>
      </c>
      <c r="C352" s="2" t="s">
        <v>128</v>
      </c>
      <c r="G352" s="18">
        <v>120</v>
      </c>
      <c r="H352" s="5"/>
      <c r="I352" s="41">
        <f t="shared" ref="I352:I360" si="19">G352*B352</f>
        <v>240</v>
      </c>
    </row>
    <row r="353" spans="1:9" s="2" customFormat="1" ht="12">
      <c r="A353" s="2" t="s">
        <v>39</v>
      </c>
      <c r="B353" s="40">
        <v>2</v>
      </c>
      <c r="C353" s="2" t="s">
        <v>129</v>
      </c>
      <c r="G353" s="18">
        <v>58</v>
      </c>
      <c r="H353" s="5"/>
      <c r="I353" s="41">
        <f t="shared" si="19"/>
        <v>116</v>
      </c>
    </row>
    <row r="354" spans="1:9" s="2" customFormat="1" ht="12">
      <c r="A354" s="2" t="s">
        <v>40</v>
      </c>
      <c r="B354" s="40">
        <v>2</v>
      </c>
      <c r="C354" s="2" t="s">
        <v>86</v>
      </c>
      <c r="G354" s="18">
        <v>245</v>
      </c>
      <c r="H354" s="5"/>
      <c r="I354" s="41">
        <f t="shared" si="19"/>
        <v>490</v>
      </c>
    </row>
    <row r="355" spans="1:9" s="2" customFormat="1" ht="12">
      <c r="A355" s="2" t="s">
        <v>41</v>
      </c>
      <c r="B355" s="10">
        <v>3</v>
      </c>
      <c r="C355" s="20" t="s">
        <v>185</v>
      </c>
      <c r="D355" s="12"/>
      <c r="E355" s="29"/>
      <c r="F355" s="12"/>
      <c r="G355" s="46">
        <v>68</v>
      </c>
      <c r="H355" s="46"/>
      <c r="I355" s="41">
        <f t="shared" si="19"/>
        <v>204</v>
      </c>
    </row>
    <row r="356" spans="1:9" s="2" customFormat="1" ht="12">
      <c r="A356" s="11" t="s">
        <v>42</v>
      </c>
      <c r="B356" s="10">
        <v>2</v>
      </c>
      <c r="C356" s="2" t="s">
        <v>215</v>
      </c>
      <c r="D356" s="12"/>
      <c r="E356" s="29"/>
      <c r="F356" s="12"/>
      <c r="G356" s="46">
        <v>210</v>
      </c>
      <c r="H356" s="46"/>
      <c r="I356" s="41">
        <f t="shared" si="19"/>
        <v>420</v>
      </c>
    </row>
    <row r="357" spans="1:9" s="2" customFormat="1" ht="12">
      <c r="A357" s="11" t="s">
        <v>48</v>
      </c>
      <c r="B357" s="10">
        <v>1</v>
      </c>
      <c r="C357" s="20" t="s">
        <v>87</v>
      </c>
      <c r="D357" s="12"/>
      <c r="E357" s="29"/>
      <c r="F357" s="12"/>
      <c r="G357" s="46">
        <v>48</v>
      </c>
      <c r="H357" s="46"/>
      <c r="I357" s="41">
        <f t="shared" si="19"/>
        <v>48</v>
      </c>
    </row>
    <row r="358" spans="1:9" s="2" customFormat="1" ht="12">
      <c r="A358" s="11" t="s">
        <v>49</v>
      </c>
      <c r="B358" s="10">
        <v>2</v>
      </c>
      <c r="C358" s="20" t="s">
        <v>130</v>
      </c>
      <c r="D358" s="12"/>
      <c r="E358" s="29"/>
      <c r="F358" s="12"/>
      <c r="G358" s="46">
        <v>48</v>
      </c>
      <c r="H358" s="46"/>
      <c r="I358" s="41">
        <f t="shared" si="19"/>
        <v>96</v>
      </c>
    </row>
    <row r="359" spans="1:9" s="2" customFormat="1" ht="12">
      <c r="A359" s="11" t="s">
        <v>50</v>
      </c>
      <c r="B359" s="12">
        <v>1</v>
      </c>
      <c r="C359" s="2" t="s">
        <v>133</v>
      </c>
      <c r="G359" s="18">
        <v>48</v>
      </c>
      <c r="H359" s="18"/>
      <c r="I359" s="18">
        <f t="shared" si="19"/>
        <v>48</v>
      </c>
    </row>
    <row r="360" spans="1:9" s="2" customFormat="1" ht="12">
      <c r="A360" s="11" t="s">
        <v>51</v>
      </c>
      <c r="B360" s="12">
        <v>1</v>
      </c>
      <c r="C360" s="2" t="s">
        <v>142</v>
      </c>
      <c r="G360" s="18">
        <v>48</v>
      </c>
      <c r="H360" s="18"/>
      <c r="I360" s="18">
        <f t="shared" si="19"/>
        <v>48</v>
      </c>
    </row>
    <row r="361" spans="1:9" s="2" customFormat="1" ht="12">
      <c r="A361" s="11" t="s">
        <v>52</v>
      </c>
      <c r="B361" s="10">
        <v>1</v>
      </c>
      <c r="C361" s="20" t="s">
        <v>115</v>
      </c>
      <c r="D361" s="12"/>
      <c r="E361" s="29"/>
      <c r="F361" s="12"/>
      <c r="G361" s="46">
        <v>48</v>
      </c>
      <c r="H361" s="46"/>
      <c r="I361" s="41">
        <f>G361*B361</f>
        <v>48</v>
      </c>
    </row>
    <row r="362" spans="1:9" s="2" customFormat="1" ht="12">
      <c r="A362" s="11" t="s">
        <v>53</v>
      </c>
      <c r="B362" s="10">
        <v>1</v>
      </c>
      <c r="C362" s="20" t="s">
        <v>131</v>
      </c>
      <c r="D362" s="12"/>
      <c r="E362" s="29"/>
      <c r="F362" s="12"/>
      <c r="G362" s="46">
        <v>195</v>
      </c>
      <c r="H362" s="46"/>
      <c r="I362" s="41">
        <f>G362*B362</f>
        <v>195</v>
      </c>
    </row>
    <row r="363" spans="1:9" s="2" customFormat="1" ht="12"/>
    <row r="364" spans="1:9" s="2" customFormat="1" ht="12">
      <c r="A364" s="49" t="s">
        <v>194</v>
      </c>
      <c r="B364" s="49"/>
      <c r="C364" s="49"/>
      <c r="D364" s="49"/>
      <c r="E364" s="49"/>
      <c r="F364" s="49"/>
      <c r="G364" s="49"/>
      <c r="H364" s="49"/>
      <c r="I364" s="51">
        <f>SUM(I367:I383)</f>
        <v>1905</v>
      </c>
    </row>
    <row r="365" spans="1:9" s="2" customFormat="1" ht="12">
      <c r="A365" s="50"/>
      <c r="B365" s="50"/>
      <c r="C365" s="50"/>
      <c r="D365" s="50"/>
      <c r="E365" s="50"/>
      <c r="F365" s="50"/>
      <c r="G365" s="50"/>
      <c r="H365" s="50"/>
      <c r="I365" s="52"/>
    </row>
    <row r="366" spans="1:9" s="2" customFormat="1" ht="12">
      <c r="A366" s="44"/>
      <c r="B366" s="44"/>
      <c r="C366" s="44"/>
      <c r="D366" s="44"/>
      <c r="E366" s="44"/>
      <c r="F366" s="44"/>
      <c r="G366" s="44"/>
      <c r="H366" s="44"/>
      <c r="I366" s="45"/>
    </row>
    <row r="367" spans="1:9" s="2" customFormat="1" ht="12">
      <c r="A367" s="2" t="s">
        <v>38</v>
      </c>
      <c r="B367" s="40">
        <v>2</v>
      </c>
      <c r="C367" s="2" t="s">
        <v>128</v>
      </c>
      <c r="G367" s="18">
        <v>120</v>
      </c>
      <c r="H367" s="5"/>
      <c r="I367" s="41">
        <f>G367*B367</f>
        <v>240</v>
      </c>
    </row>
    <row r="368" spans="1:9" s="2" customFormat="1" ht="12">
      <c r="A368" s="2" t="s">
        <v>39</v>
      </c>
      <c r="B368" s="40">
        <v>2</v>
      </c>
      <c r="C368" s="2" t="s">
        <v>129</v>
      </c>
      <c r="G368" s="18">
        <v>58</v>
      </c>
      <c r="H368" s="5"/>
      <c r="I368" s="41">
        <f>G368*B368</f>
        <v>116</v>
      </c>
    </row>
    <row r="369" spans="1:9" s="2" customFormat="1" ht="12">
      <c r="A369" s="2" t="s">
        <v>40</v>
      </c>
      <c r="B369" s="40">
        <v>2</v>
      </c>
      <c r="C369" s="2" t="s">
        <v>86</v>
      </c>
      <c r="G369" s="18">
        <v>245</v>
      </c>
      <c r="H369" s="5"/>
      <c r="I369" s="41">
        <f>G369*B369</f>
        <v>490</v>
      </c>
    </row>
    <row r="370" spans="1:9" s="2" customFormat="1" ht="12">
      <c r="B370" s="10"/>
      <c r="C370" s="20"/>
      <c r="D370" s="12"/>
      <c r="E370" s="29"/>
      <c r="F370" s="12"/>
      <c r="G370" s="46"/>
      <c r="H370" s="46"/>
      <c r="I370" s="41"/>
    </row>
    <row r="371" spans="1:9" s="2" customFormat="1" ht="12">
      <c r="B371" s="10"/>
      <c r="C371" s="20"/>
      <c r="D371" s="12"/>
      <c r="E371" s="29"/>
      <c r="F371" s="12"/>
      <c r="G371" s="46"/>
      <c r="H371" s="46"/>
      <c r="I371" s="41"/>
    </row>
    <row r="372" spans="1:9" s="2" customFormat="1" ht="12">
      <c r="A372" s="11" t="s">
        <v>33</v>
      </c>
      <c r="B372" s="10"/>
      <c r="C372" s="20"/>
      <c r="D372" s="12"/>
      <c r="E372" s="29" t="s">
        <v>34</v>
      </c>
      <c r="F372" s="12" t="str">
        <f>D7</f>
        <v>2211AM01S</v>
      </c>
      <c r="G372" s="53" t="str">
        <f>D11</f>
        <v>AM FAIRMOUNT</v>
      </c>
      <c r="H372" s="53"/>
      <c r="I372" s="35" t="s">
        <v>136</v>
      </c>
    </row>
    <row r="373" spans="1:9" s="2" customFormat="1" ht="12">
      <c r="A373" s="11"/>
      <c r="B373" s="10"/>
      <c r="C373" s="20"/>
      <c r="D373" s="12"/>
      <c r="E373" s="29"/>
      <c r="F373" s="12"/>
      <c r="G373" s="46"/>
      <c r="H373" s="46"/>
      <c r="I373" s="35"/>
    </row>
    <row r="374" spans="1:9" s="2" customFormat="1" ht="12">
      <c r="A374" s="49" t="s">
        <v>218</v>
      </c>
      <c r="B374" s="49"/>
      <c r="C374" s="49"/>
      <c r="D374" s="49"/>
      <c r="E374" s="49"/>
      <c r="F374" s="49"/>
      <c r="G374" s="49"/>
      <c r="H374" s="49"/>
      <c r="I374" s="51"/>
    </row>
    <row r="375" spans="1:9" s="2" customFormat="1" ht="12">
      <c r="A375" s="50"/>
      <c r="B375" s="50"/>
      <c r="C375" s="50"/>
      <c r="D375" s="50"/>
      <c r="E375" s="50"/>
      <c r="F375" s="50"/>
      <c r="G375" s="50"/>
      <c r="H375" s="50"/>
      <c r="I375" s="52"/>
    </row>
    <row r="377" spans="1:9" s="2" customFormat="1" ht="12">
      <c r="A377" s="2" t="s">
        <v>41</v>
      </c>
      <c r="B377" s="10">
        <v>3</v>
      </c>
      <c r="C377" s="20" t="s">
        <v>185</v>
      </c>
      <c r="D377" s="12"/>
      <c r="E377" s="29"/>
      <c r="F377" s="12"/>
      <c r="G377" s="46">
        <v>68</v>
      </c>
      <c r="H377" s="46"/>
      <c r="I377" s="41">
        <f t="shared" ref="I377:I381" si="20">G377*B377</f>
        <v>204</v>
      </c>
    </row>
    <row r="378" spans="1:9" s="2" customFormat="1" ht="12">
      <c r="A378" s="11" t="s">
        <v>42</v>
      </c>
      <c r="B378" s="10">
        <v>2</v>
      </c>
      <c r="C378" s="2" t="s">
        <v>215</v>
      </c>
      <c r="D378" s="12"/>
      <c r="E378" s="29"/>
      <c r="F378" s="12"/>
      <c r="G378" s="46">
        <v>210</v>
      </c>
      <c r="H378" s="46"/>
      <c r="I378" s="41">
        <f t="shared" si="20"/>
        <v>420</v>
      </c>
    </row>
    <row r="379" spans="1:9" s="2" customFormat="1" ht="12">
      <c r="A379" s="11" t="s">
        <v>48</v>
      </c>
      <c r="B379" s="10">
        <v>1</v>
      </c>
      <c r="C379" s="20" t="s">
        <v>87</v>
      </c>
      <c r="D379" s="12"/>
      <c r="E379" s="29"/>
      <c r="F379" s="12"/>
      <c r="G379" s="46">
        <v>48</v>
      </c>
      <c r="H379" s="46"/>
      <c r="I379" s="41">
        <f t="shared" si="20"/>
        <v>48</v>
      </c>
    </row>
    <row r="380" spans="1:9" s="2" customFormat="1" ht="12">
      <c r="A380" s="11" t="s">
        <v>49</v>
      </c>
      <c r="B380" s="10">
        <v>2</v>
      </c>
      <c r="C380" s="20" t="s">
        <v>130</v>
      </c>
      <c r="D380" s="12"/>
      <c r="E380" s="29"/>
      <c r="F380" s="12"/>
      <c r="G380" s="46">
        <v>48</v>
      </c>
      <c r="H380" s="46"/>
      <c r="I380" s="41">
        <f t="shared" si="20"/>
        <v>96</v>
      </c>
    </row>
    <row r="381" spans="1:9" s="2" customFormat="1" ht="12">
      <c r="A381" s="11" t="s">
        <v>50</v>
      </c>
      <c r="B381" s="12">
        <v>1</v>
      </c>
      <c r="C381" s="2" t="s">
        <v>133</v>
      </c>
      <c r="G381" s="18">
        <v>48</v>
      </c>
      <c r="H381" s="18"/>
      <c r="I381" s="18">
        <f t="shared" si="20"/>
        <v>48</v>
      </c>
    </row>
    <row r="382" spans="1:9" s="2" customFormat="1" ht="12">
      <c r="A382" s="11" t="s">
        <v>51</v>
      </c>
      <c r="B382" s="10">
        <v>1</v>
      </c>
      <c r="C382" s="20" t="s">
        <v>115</v>
      </c>
      <c r="D382" s="12"/>
      <c r="E382" s="29"/>
      <c r="F382" s="12"/>
      <c r="G382" s="46">
        <v>48</v>
      </c>
      <c r="H382" s="46"/>
      <c r="I382" s="41">
        <f>G382*B382</f>
        <v>48</v>
      </c>
    </row>
    <row r="383" spans="1:9" s="2" customFormat="1" ht="12">
      <c r="A383" s="11" t="s">
        <v>52</v>
      </c>
      <c r="B383" s="10">
        <v>1</v>
      </c>
      <c r="C383" s="20" t="s">
        <v>131</v>
      </c>
      <c r="D383" s="12"/>
      <c r="E383" s="29"/>
      <c r="F383" s="12"/>
      <c r="G383" s="46">
        <v>195</v>
      </c>
      <c r="H383" s="46"/>
      <c r="I383" s="41">
        <f>G383*B383</f>
        <v>195</v>
      </c>
    </row>
    <row r="384" spans="1:9" s="2" customFormat="1" ht="12">
      <c r="A384" s="11"/>
      <c r="B384" s="10"/>
      <c r="C384" s="20"/>
      <c r="D384" s="12"/>
      <c r="E384" s="29"/>
      <c r="F384" s="12"/>
      <c r="G384" s="46"/>
      <c r="H384" s="46"/>
      <c r="I384" s="41"/>
    </row>
    <row r="385" spans="1:9" s="2" customFormat="1" ht="12">
      <c r="A385" s="49" t="s">
        <v>195</v>
      </c>
      <c r="B385" s="49"/>
      <c r="C385" s="49"/>
      <c r="D385" s="49"/>
      <c r="E385" s="49"/>
      <c r="F385" s="49"/>
      <c r="G385" s="49"/>
      <c r="H385" s="49"/>
      <c r="I385" s="51">
        <f>SUM(I388:I397)</f>
        <v>1905</v>
      </c>
    </row>
    <row r="386" spans="1:9" s="2" customFormat="1" ht="12">
      <c r="A386" s="50"/>
      <c r="B386" s="50"/>
      <c r="C386" s="50"/>
      <c r="D386" s="50"/>
      <c r="E386" s="50"/>
      <c r="F386" s="50"/>
      <c r="G386" s="50"/>
      <c r="H386" s="50"/>
      <c r="I386" s="52"/>
    </row>
    <row r="387" spans="1:9" s="2" customFormat="1" ht="12">
      <c r="A387" s="44"/>
      <c r="B387" s="44"/>
      <c r="C387" s="44"/>
      <c r="D387" s="44"/>
      <c r="E387" s="44"/>
      <c r="F387" s="44"/>
      <c r="G387" s="44"/>
      <c r="H387" s="44"/>
      <c r="I387" s="45"/>
    </row>
    <row r="388" spans="1:9" s="2" customFormat="1" ht="12">
      <c r="A388" s="2" t="s">
        <v>38</v>
      </c>
      <c r="B388" s="40">
        <v>2</v>
      </c>
      <c r="C388" s="2" t="s">
        <v>128</v>
      </c>
      <c r="G388" s="18">
        <v>120</v>
      </c>
      <c r="H388" s="5"/>
      <c r="I388" s="41">
        <f t="shared" ref="I388:I395" si="21">G388*B388</f>
        <v>240</v>
      </c>
    </row>
    <row r="389" spans="1:9" s="2" customFormat="1" ht="12">
      <c r="A389" s="2" t="s">
        <v>39</v>
      </c>
      <c r="B389" s="40">
        <v>2</v>
      </c>
      <c r="C389" s="2" t="s">
        <v>129</v>
      </c>
      <c r="G389" s="18">
        <v>58</v>
      </c>
      <c r="H389" s="5"/>
      <c r="I389" s="41">
        <f t="shared" si="21"/>
        <v>116</v>
      </c>
    </row>
    <row r="390" spans="1:9" s="2" customFormat="1" ht="12">
      <c r="A390" s="2" t="s">
        <v>40</v>
      </c>
      <c r="B390" s="40">
        <v>2</v>
      </c>
      <c r="C390" s="2" t="s">
        <v>86</v>
      </c>
      <c r="G390" s="18">
        <v>245</v>
      </c>
      <c r="H390" s="5"/>
      <c r="I390" s="41">
        <f t="shared" si="21"/>
        <v>490</v>
      </c>
    </row>
    <row r="391" spans="1:9" s="2" customFormat="1" ht="12">
      <c r="A391" s="2" t="s">
        <v>41</v>
      </c>
      <c r="B391" s="10">
        <v>3</v>
      </c>
      <c r="C391" s="20" t="s">
        <v>185</v>
      </c>
      <c r="D391" s="12"/>
      <c r="E391" s="29"/>
      <c r="F391" s="12"/>
      <c r="G391" s="46">
        <v>68</v>
      </c>
      <c r="H391" s="46"/>
      <c r="I391" s="41">
        <f t="shared" si="21"/>
        <v>204</v>
      </c>
    </row>
    <row r="392" spans="1:9" s="2" customFormat="1" ht="12">
      <c r="A392" s="11" t="s">
        <v>42</v>
      </c>
      <c r="B392" s="10">
        <v>2</v>
      </c>
      <c r="C392" s="2" t="s">
        <v>215</v>
      </c>
      <c r="D392" s="12"/>
      <c r="E392" s="29"/>
      <c r="F392" s="12"/>
      <c r="G392" s="46">
        <v>210</v>
      </c>
      <c r="H392" s="46"/>
      <c r="I392" s="41">
        <f t="shared" si="21"/>
        <v>420</v>
      </c>
    </row>
    <row r="393" spans="1:9" s="2" customFormat="1" ht="12">
      <c r="A393" s="11" t="s">
        <v>48</v>
      </c>
      <c r="B393" s="10">
        <v>1</v>
      </c>
      <c r="C393" s="20" t="s">
        <v>87</v>
      </c>
      <c r="D393" s="12"/>
      <c r="E393" s="29"/>
      <c r="F393" s="12"/>
      <c r="G393" s="46">
        <v>48</v>
      </c>
      <c r="H393" s="46"/>
      <c r="I393" s="41">
        <f t="shared" si="21"/>
        <v>48</v>
      </c>
    </row>
    <row r="394" spans="1:9" s="2" customFormat="1" ht="12">
      <c r="A394" s="11" t="s">
        <v>49</v>
      </c>
      <c r="B394" s="10">
        <v>2</v>
      </c>
      <c r="C394" s="20" t="s">
        <v>130</v>
      </c>
      <c r="D394" s="12"/>
      <c r="E394" s="29"/>
      <c r="F394" s="12"/>
      <c r="G394" s="46">
        <v>48</v>
      </c>
      <c r="H394" s="46"/>
      <c r="I394" s="41">
        <f t="shared" si="21"/>
        <v>96</v>
      </c>
    </row>
    <row r="395" spans="1:9" s="2" customFormat="1" ht="12">
      <c r="A395" s="11" t="s">
        <v>50</v>
      </c>
      <c r="B395" s="12">
        <v>1</v>
      </c>
      <c r="C395" s="2" t="s">
        <v>133</v>
      </c>
      <c r="G395" s="18">
        <v>48</v>
      </c>
      <c r="H395" s="18"/>
      <c r="I395" s="18">
        <f t="shared" si="21"/>
        <v>48</v>
      </c>
    </row>
    <row r="396" spans="1:9" s="2" customFormat="1" ht="12">
      <c r="A396" s="11" t="s">
        <v>51</v>
      </c>
      <c r="B396" s="10">
        <v>1</v>
      </c>
      <c r="C396" s="20" t="s">
        <v>115</v>
      </c>
      <c r="D396" s="12"/>
      <c r="E396" s="29"/>
      <c r="F396" s="12"/>
      <c r="G396" s="46">
        <v>48</v>
      </c>
      <c r="H396" s="46"/>
      <c r="I396" s="41">
        <f>G396*B396</f>
        <v>48</v>
      </c>
    </row>
    <row r="397" spans="1:9" s="2" customFormat="1" ht="12">
      <c r="A397" s="11" t="s">
        <v>52</v>
      </c>
      <c r="B397" s="10">
        <v>1</v>
      </c>
      <c r="C397" s="20" t="s">
        <v>131</v>
      </c>
      <c r="D397" s="12"/>
      <c r="E397" s="29"/>
      <c r="F397" s="12"/>
      <c r="G397" s="46">
        <v>195</v>
      </c>
      <c r="H397" s="46"/>
      <c r="I397" s="41">
        <f>G397*B397</f>
        <v>195</v>
      </c>
    </row>
    <row r="398" spans="1:9" s="2" customFormat="1" ht="12">
      <c r="A398" s="11"/>
    </row>
    <row r="400" spans="1:9" s="2" customFormat="1" ht="12">
      <c r="A400" s="11"/>
      <c r="B400" s="10"/>
      <c r="C400" s="20"/>
      <c r="D400" s="12"/>
      <c r="E400" s="29"/>
      <c r="F400" s="12"/>
      <c r="G400" s="46"/>
      <c r="H400" s="46"/>
      <c r="I400" s="41"/>
    </row>
    <row r="401" spans="1:9" s="2" customFormat="1" ht="12">
      <c r="A401" s="49" t="s">
        <v>196</v>
      </c>
      <c r="B401" s="49"/>
      <c r="C401" s="49"/>
      <c r="D401" s="49"/>
      <c r="E401" s="49"/>
      <c r="F401" s="49"/>
      <c r="G401" s="49"/>
      <c r="H401" s="49"/>
      <c r="I401" s="51">
        <f>SUM(I404:I413)</f>
        <v>1905</v>
      </c>
    </row>
    <row r="402" spans="1:9" s="2" customFormat="1" ht="12">
      <c r="A402" s="50"/>
      <c r="B402" s="50"/>
      <c r="C402" s="50"/>
      <c r="D402" s="50"/>
      <c r="E402" s="50"/>
      <c r="F402" s="50"/>
      <c r="G402" s="50"/>
      <c r="H402" s="50"/>
      <c r="I402" s="52"/>
    </row>
    <row r="403" spans="1:9" s="2" customFormat="1" ht="12">
      <c r="A403" s="44"/>
      <c r="B403" s="44"/>
      <c r="C403" s="44"/>
      <c r="D403" s="44"/>
      <c r="E403" s="44"/>
      <c r="F403" s="44"/>
      <c r="G403" s="44"/>
      <c r="H403" s="44"/>
      <c r="I403" s="45"/>
    </row>
    <row r="404" spans="1:9" s="2" customFormat="1" ht="12">
      <c r="A404" s="2" t="s">
        <v>38</v>
      </c>
      <c r="B404" s="40">
        <v>2</v>
      </c>
      <c r="C404" s="2" t="s">
        <v>128</v>
      </c>
      <c r="G404" s="18">
        <v>120</v>
      </c>
      <c r="H404" s="5"/>
      <c r="I404" s="41">
        <f t="shared" ref="I404:I411" si="22">G404*B404</f>
        <v>240</v>
      </c>
    </row>
    <row r="405" spans="1:9" s="2" customFormat="1" ht="12">
      <c r="A405" s="2" t="s">
        <v>39</v>
      </c>
      <c r="B405" s="40">
        <v>2</v>
      </c>
      <c r="C405" s="2" t="s">
        <v>129</v>
      </c>
      <c r="G405" s="18">
        <v>58</v>
      </c>
      <c r="H405" s="5"/>
      <c r="I405" s="41">
        <f t="shared" si="22"/>
        <v>116</v>
      </c>
    </row>
    <row r="406" spans="1:9" s="2" customFormat="1" ht="12">
      <c r="A406" s="2" t="s">
        <v>40</v>
      </c>
      <c r="B406" s="40">
        <v>2</v>
      </c>
      <c r="C406" s="2" t="s">
        <v>86</v>
      </c>
      <c r="G406" s="18">
        <v>245</v>
      </c>
      <c r="H406" s="5"/>
      <c r="I406" s="41">
        <f t="shared" si="22"/>
        <v>490</v>
      </c>
    </row>
    <row r="407" spans="1:9" s="2" customFormat="1" ht="12">
      <c r="A407" s="2" t="s">
        <v>41</v>
      </c>
      <c r="B407" s="10">
        <v>3</v>
      </c>
      <c r="C407" s="20" t="s">
        <v>185</v>
      </c>
      <c r="D407" s="12"/>
      <c r="E407" s="29"/>
      <c r="F407" s="12"/>
      <c r="G407" s="46">
        <v>68</v>
      </c>
      <c r="H407" s="46"/>
      <c r="I407" s="41">
        <f t="shared" si="22"/>
        <v>204</v>
      </c>
    </row>
    <row r="408" spans="1:9" s="2" customFormat="1" ht="12">
      <c r="A408" s="11" t="s">
        <v>42</v>
      </c>
      <c r="B408" s="10">
        <v>2</v>
      </c>
      <c r="C408" s="2" t="s">
        <v>215</v>
      </c>
      <c r="D408" s="12"/>
      <c r="E408" s="29"/>
      <c r="F408" s="12"/>
      <c r="G408" s="46">
        <v>210</v>
      </c>
      <c r="H408" s="46"/>
      <c r="I408" s="41">
        <f t="shared" si="22"/>
        <v>420</v>
      </c>
    </row>
    <row r="409" spans="1:9" s="2" customFormat="1" ht="12">
      <c r="A409" s="11" t="s">
        <v>48</v>
      </c>
      <c r="B409" s="10">
        <v>1</v>
      </c>
      <c r="C409" s="20" t="s">
        <v>87</v>
      </c>
      <c r="D409" s="12"/>
      <c r="E409" s="29"/>
      <c r="F409" s="12"/>
      <c r="G409" s="46">
        <v>48</v>
      </c>
      <c r="H409" s="46"/>
      <c r="I409" s="41">
        <f t="shared" si="22"/>
        <v>48</v>
      </c>
    </row>
    <row r="410" spans="1:9" s="2" customFormat="1" ht="12">
      <c r="A410" s="11" t="s">
        <v>49</v>
      </c>
      <c r="B410" s="10">
        <v>2</v>
      </c>
      <c r="C410" s="20" t="s">
        <v>130</v>
      </c>
      <c r="D410" s="12"/>
      <c r="E410" s="29"/>
      <c r="F410" s="12"/>
      <c r="G410" s="46">
        <v>48</v>
      </c>
      <c r="H410" s="46"/>
      <c r="I410" s="41">
        <f t="shared" si="22"/>
        <v>96</v>
      </c>
    </row>
    <row r="411" spans="1:9" s="2" customFormat="1" ht="12">
      <c r="A411" s="11" t="s">
        <v>50</v>
      </c>
      <c r="B411" s="12">
        <v>1</v>
      </c>
      <c r="C411" s="2" t="s">
        <v>133</v>
      </c>
      <c r="G411" s="18">
        <v>48</v>
      </c>
      <c r="H411" s="18"/>
      <c r="I411" s="18">
        <f t="shared" si="22"/>
        <v>48</v>
      </c>
    </row>
    <row r="412" spans="1:9" s="2" customFormat="1" ht="12">
      <c r="A412" s="11" t="s">
        <v>51</v>
      </c>
      <c r="B412" s="10">
        <v>1</v>
      </c>
      <c r="C412" s="20" t="s">
        <v>115</v>
      </c>
      <c r="D412" s="12"/>
      <c r="E412" s="29"/>
      <c r="F412" s="12"/>
      <c r="G412" s="46">
        <v>48</v>
      </c>
      <c r="H412" s="46"/>
      <c r="I412" s="41">
        <f>G412*B412</f>
        <v>48</v>
      </c>
    </row>
    <row r="413" spans="1:9" s="2" customFormat="1" ht="12">
      <c r="A413" s="11" t="s">
        <v>52</v>
      </c>
      <c r="B413" s="10">
        <v>1</v>
      </c>
      <c r="C413" s="20" t="s">
        <v>131</v>
      </c>
      <c r="D413" s="12"/>
      <c r="E413" s="29"/>
      <c r="F413" s="12"/>
      <c r="G413" s="46">
        <v>195</v>
      </c>
      <c r="H413" s="46"/>
      <c r="I413" s="41">
        <f>G413*B413</f>
        <v>195</v>
      </c>
    </row>
    <row r="414" spans="1:9" s="2" customFormat="1" ht="12"/>
    <row r="415" spans="1:9" s="2" customFormat="1" ht="12">
      <c r="A415" s="49" t="s">
        <v>197</v>
      </c>
      <c r="B415" s="49"/>
      <c r="C415" s="49"/>
      <c r="D415" s="49"/>
      <c r="E415" s="49"/>
      <c r="F415" s="49"/>
      <c r="G415" s="49"/>
      <c r="H415" s="49"/>
      <c r="I415" s="51">
        <f>SUM(I418:I434)</f>
        <v>1905</v>
      </c>
    </row>
    <row r="416" spans="1:9" s="2" customFormat="1" ht="12">
      <c r="A416" s="50"/>
      <c r="B416" s="50"/>
      <c r="C416" s="50"/>
      <c r="D416" s="50"/>
      <c r="E416" s="50"/>
      <c r="F416" s="50"/>
      <c r="G416" s="50"/>
      <c r="H416" s="50"/>
      <c r="I416" s="52"/>
    </row>
    <row r="417" spans="1:9" s="2" customFormat="1" ht="12">
      <c r="A417" s="44"/>
      <c r="B417" s="44"/>
      <c r="C417" s="44"/>
      <c r="D417" s="44"/>
      <c r="E417" s="44"/>
      <c r="F417" s="44"/>
      <c r="G417" s="44"/>
      <c r="H417" s="44"/>
      <c r="I417" s="45"/>
    </row>
    <row r="418" spans="1:9" s="2" customFormat="1" ht="12">
      <c r="A418" s="2" t="s">
        <v>38</v>
      </c>
      <c r="B418" s="40">
        <v>2</v>
      </c>
      <c r="C418" s="2" t="s">
        <v>128</v>
      </c>
      <c r="G418" s="18">
        <v>120</v>
      </c>
      <c r="H418" s="5"/>
      <c r="I418" s="41">
        <f>G418*B418</f>
        <v>240</v>
      </c>
    </row>
    <row r="419" spans="1:9" s="2" customFormat="1" ht="12">
      <c r="A419" s="2" t="s">
        <v>39</v>
      </c>
      <c r="B419" s="40">
        <v>2</v>
      </c>
      <c r="C419" s="2" t="s">
        <v>129</v>
      </c>
      <c r="G419" s="18">
        <v>58</v>
      </c>
      <c r="H419" s="5"/>
      <c r="I419" s="41">
        <f>G419*B419</f>
        <v>116</v>
      </c>
    </row>
    <row r="420" spans="1:9" s="2" customFormat="1" ht="12">
      <c r="A420" s="2" t="s">
        <v>40</v>
      </c>
      <c r="B420" s="40">
        <v>2</v>
      </c>
      <c r="C420" s="2" t="s">
        <v>86</v>
      </c>
      <c r="G420" s="18">
        <v>245</v>
      </c>
      <c r="H420" s="5"/>
      <c r="I420" s="41">
        <f>G420*B420</f>
        <v>490</v>
      </c>
    </row>
    <row r="421" spans="1:9" s="2" customFormat="1" ht="12">
      <c r="A421" s="2" t="s">
        <v>41</v>
      </c>
      <c r="B421" s="10">
        <v>3</v>
      </c>
      <c r="C421" s="20" t="s">
        <v>185</v>
      </c>
      <c r="D421" s="12"/>
      <c r="E421" s="29"/>
      <c r="F421" s="12"/>
      <c r="G421" s="46">
        <v>68</v>
      </c>
      <c r="H421" s="46"/>
      <c r="I421" s="41">
        <f>G421*B421</f>
        <v>204</v>
      </c>
    </row>
    <row r="422" spans="1:9" s="2" customFormat="1" ht="12">
      <c r="A422" s="11" t="s">
        <v>42</v>
      </c>
      <c r="B422" s="10">
        <v>2</v>
      </c>
      <c r="C422" s="2" t="s">
        <v>215</v>
      </c>
      <c r="D422" s="12"/>
      <c r="E422" s="29"/>
      <c r="F422" s="12"/>
      <c r="G422" s="46">
        <v>210</v>
      </c>
      <c r="H422" s="46"/>
      <c r="I422" s="41">
        <f>G422*B422</f>
        <v>420</v>
      </c>
    </row>
    <row r="423" spans="1:9" s="2" customFormat="1" ht="12"/>
    <row r="424" spans="1:9" s="2" customFormat="1" ht="12"/>
    <row r="425" spans="1:9" s="2" customFormat="1" ht="12">
      <c r="A425" s="11" t="s">
        <v>33</v>
      </c>
      <c r="B425" s="10"/>
      <c r="C425" s="20"/>
      <c r="D425" s="12"/>
      <c r="E425" s="29" t="s">
        <v>34</v>
      </c>
      <c r="F425" s="12" t="str">
        <f>D7</f>
        <v>2211AM01S</v>
      </c>
      <c r="G425" s="53" t="str">
        <f>D11</f>
        <v>AM FAIRMOUNT</v>
      </c>
      <c r="H425" s="53"/>
      <c r="I425" s="35" t="s">
        <v>137</v>
      </c>
    </row>
    <row r="426" spans="1:9" s="2" customFormat="1" ht="12">
      <c r="A426" s="11"/>
    </row>
    <row r="427" spans="1:9" s="2" customFormat="1" ht="12">
      <c r="A427" s="49" t="s">
        <v>219</v>
      </c>
      <c r="B427" s="49"/>
      <c r="C427" s="49"/>
      <c r="D427" s="49"/>
      <c r="E427" s="49"/>
      <c r="F427" s="49"/>
      <c r="G427" s="49"/>
      <c r="H427" s="49"/>
      <c r="I427" s="51"/>
    </row>
    <row r="428" spans="1:9" s="2" customFormat="1" ht="12">
      <c r="A428" s="50"/>
      <c r="B428" s="50"/>
      <c r="C428" s="50"/>
      <c r="D428" s="50"/>
      <c r="E428" s="50"/>
      <c r="F428" s="50"/>
      <c r="G428" s="50"/>
      <c r="H428" s="50"/>
      <c r="I428" s="52"/>
    </row>
    <row r="429" spans="1:9" s="2" customFormat="1" ht="12"/>
    <row r="430" spans="1:9" s="2" customFormat="1" ht="12">
      <c r="A430" s="11" t="s">
        <v>48</v>
      </c>
      <c r="B430" s="10">
        <v>1</v>
      </c>
      <c r="C430" s="20" t="s">
        <v>87</v>
      </c>
      <c r="D430" s="12"/>
      <c r="E430" s="29"/>
      <c r="F430" s="12"/>
      <c r="G430" s="46">
        <v>48</v>
      </c>
      <c r="H430" s="46"/>
      <c r="I430" s="41">
        <f t="shared" ref="I430:I432" si="23">G430*B430</f>
        <v>48</v>
      </c>
    </row>
    <row r="431" spans="1:9" s="2" customFormat="1" ht="12">
      <c r="A431" s="11" t="s">
        <v>49</v>
      </c>
      <c r="B431" s="10">
        <v>2</v>
      </c>
      <c r="C431" s="20" t="s">
        <v>130</v>
      </c>
      <c r="D431" s="12"/>
      <c r="E431" s="29"/>
      <c r="F431" s="12"/>
      <c r="G431" s="46">
        <v>48</v>
      </c>
      <c r="H431" s="46"/>
      <c r="I431" s="41">
        <f t="shared" si="23"/>
        <v>96</v>
      </c>
    </row>
    <row r="432" spans="1:9" s="2" customFormat="1" ht="12">
      <c r="A432" s="11" t="s">
        <v>50</v>
      </c>
      <c r="B432" s="12">
        <v>1</v>
      </c>
      <c r="C432" s="2" t="s">
        <v>133</v>
      </c>
      <c r="G432" s="18">
        <v>48</v>
      </c>
      <c r="H432" s="18"/>
      <c r="I432" s="18">
        <f t="shared" si="23"/>
        <v>48</v>
      </c>
    </row>
    <row r="433" spans="1:9" s="2" customFormat="1" ht="12">
      <c r="A433" s="11" t="s">
        <v>51</v>
      </c>
      <c r="B433" s="10">
        <v>1</v>
      </c>
      <c r="C433" s="20" t="s">
        <v>115</v>
      </c>
      <c r="D433" s="12"/>
      <c r="E433" s="29"/>
      <c r="F433" s="12"/>
      <c r="G433" s="46">
        <v>48</v>
      </c>
      <c r="H433" s="46"/>
      <c r="I433" s="41">
        <f>G433*B433</f>
        <v>48</v>
      </c>
    </row>
    <row r="434" spans="1:9" s="2" customFormat="1" ht="12">
      <c r="A434" s="11" t="s">
        <v>52</v>
      </c>
      <c r="B434" s="10">
        <v>1</v>
      </c>
      <c r="C434" s="20" t="s">
        <v>131</v>
      </c>
      <c r="D434" s="12"/>
      <c r="E434" s="29"/>
      <c r="F434" s="12"/>
      <c r="G434" s="46">
        <v>195</v>
      </c>
      <c r="H434" s="46"/>
      <c r="I434" s="41">
        <f>G434*B434</f>
        <v>195</v>
      </c>
    </row>
    <row r="435" spans="1:9" s="2" customFormat="1" ht="12">
      <c r="A435" s="11"/>
      <c r="B435" s="10"/>
      <c r="C435" s="20"/>
      <c r="D435" s="12"/>
      <c r="E435" s="29"/>
      <c r="F435" s="12"/>
      <c r="G435" s="46"/>
      <c r="H435" s="46"/>
      <c r="I435" s="41"/>
    </row>
    <row r="436" spans="1:9" s="2" customFormat="1" ht="12">
      <c r="A436" s="49" t="s">
        <v>198</v>
      </c>
      <c r="B436" s="49"/>
      <c r="C436" s="49"/>
      <c r="D436" s="49"/>
      <c r="E436" s="49"/>
      <c r="F436" s="49"/>
      <c r="G436" s="49"/>
      <c r="H436" s="49"/>
      <c r="I436" s="51">
        <f>SUM(I439:I448)</f>
        <v>1905</v>
      </c>
    </row>
    <row r="437" spans="1:9" s="2" customFormat="1" ht="12">
      <c r="A437" s="50"/>
      <c r="B437" s="50"/>
      <c r="C437" s="50"/>
      <c r="D437" s="50"/>
      <c r="E437" s="50"/>
      <c r="F437" s="50"/>
      <c r="G437" s="50"/>
      <c r="H437" s="50"/>
      <c r="I437" s="52"/>
    </row>
    <row r="438" spans="1:9" s="2" customFormat="1" ht="12">
      <c r="A438" s="44"/>
      <c r="B438" s="44"/>
      <c r="C438" s="44"/>
      <c r="D438" s="44"/>
      <c r="E438" s="44"/>
      <c r="F438" s="44"/>
      <c r="G438" s="44"/>
      <c r="H438" s="44"/>
      <c r="I438" s="45"/>
    </row>
    <row r="439" spans="1:9" s="2" customFormat="1" ht="12">
      <c r="A439" s="2" t="s">
        <v>38</v>
      </c>
      <c r="B439" s="40">
        <v>2</v>
      </c>
      <c r="C439" s="2" t="s">
        <v>128</v>
      </c>
      <c r="G439" s="18">
        <v>120</v>
      </c>
      <c r="H439" s="5"/>
      <c r="I439" s="41">
        <f t="shared" ref="I439:I446" si="24">G439*B439</f>
        <v>240</v>
      </c>
    </row>
    <row r="440" spans="1:9" s="2" customFormat="1" ht="12">
      <c r="A440" s="2" t="s">
        <v>39</v>
      </c>
      <c r="B440" s="40">
        <v>2</v>
      </c>
      <c r="C440" s="2" t="s">
        <v>129</v>
      </c>
      <c r="G440" s="18">
        <v>58</v>
      </c>
      <c r="H440" s="5"/>
      <c r="I440" s="41">
        <f t="shared" si="24"/>
        <v>116</v>
      </c>
    </row>
    <row r="441" spans="1:9" s="2" customFormat="1" ht="12">
      <c r="A441" s="2" t="s">
        <v>40</v>
      </c>
      <c r="B441" s="40">
        <v>2</v>
      </c>
      <c r="C441" s="2" t="s">
        <v>86</v>
      </c>
      <c r="G441" s="18">
        <v>245</v>
      </c>
      <c r="H441" s="5"/>
      <c r="I441" s="41">
        <f t="shared" si="24"/>
        <v>490</v>
      </c>
    </row>
    <row r="442" spans="1:9" s="2" customFormat="1" ht="12">
      <c r="A442" s="2" t="s">
        <v>41</v>
      </c>
      <c r="B442" s="10">
        <v>3</v>
      </c>
      <c r="C442" s="20" t="s">
        <v>185</v>
      </c>
      <c r="D442" s="12"/>
      <c r="E442" s="29"/>
      <c r="F442" s="12"/>
      <c r="G442" s="46">
        <v>68</v>
      </c>
      <c r="H442" s="46"/>
      <c r="I442" s="41">
        <f t="shared" si="24"/>
        <v>204</v>
      </c>
    </row>
    <row r="443" spans="1:9" s="2" customFormat="1" ht="12">
      <c r="A443" s="11" t="s">
        <v>42</v>
      </c>
      <c r="B443" s="10">
        <v>2</v>
      </c>
      <c r="C443" s="2" t="s">
        <v>215</v>
      </c>
      <c r="D443" s="12"/>
      <c r="E443" s="29"/>
      <c r="F443" s="12"/>
      <c r="G443" s="46">
        <v>210</v>
      </c>
      <c r="H443" s="46"/>
      <c r="I443" s="41">
        <f t="shared" si="24"/>
        <v>420</v>
      </c>
    </row>
    <row r="444" spans="1:9" s="2" customFormat="1" ht="12">
      <c r="A444" s="11" t="s">
        <v>48</v>
      </c>
      <c r="B444" s="10">
        <v>1</v>
      </c>
      <c r="C444" s="20" t="s">
        <v>87</v>
      </c>
      <c r="D444" s="12"/>
      <c r="E444" s="29"/>
      <c r="F444" s="12"/>
      <c r="G444" s="46">
        <v>48</v>
      </c>
      <c r="H444" s="46"/>
      <c r="I444" s="41">
        <f t="shared" si="24"/>
        <v>48</v>
      </c>
    </row>
    <row r="445" spans="1:9" s="2" customFormat="1" ht="12">
      <c r="A445" s="11" t="s">
        <v>49</v>
      </c>
      <c r="B445" s="10">
        <v>2</v>
      </c>
      <c r="C445" s="20" t="s">
        <v>130</v>
      </c>
      <c r="D445" s="12"/>
      <c r="E445" s="29"/>
      <c r="F445" s="12"/>
      <c r="G445" s="46">
        <v>48</v>
      </c>
      <c r="H445" s="46"/>
      <c r="I445" s="41">
        <f t="shared" si="24"/>
        <v>96</v>
      </c>
    </row>
    <row r="446" spans="1:9" s="2" customFormat="1" ht="12">
      <c r="A446" s="11" t="s">
        <v>50</v>
      </c>
      <c r="B446" s="12">
        <v>1</v>
      </c>
      <c r="C446" s="2" t="s">
        <v>133</v>
      </c>
      <c r="G446" s="18">
        <v>48</v>
      </c>
      <c r="H446" s="18"/>
      <c r="I446" s="18">
        <f t="shared" si="24"/>
        <v>48</v>
      </c>
    </row>
    <row r="447" spans="1:9" s="2" customFormat="1" ht="12">
      <c r="A447" s="11" t="s">
        <v>51</v>
      </c>
      <c r="B447" s="10">
        <v>1</v>
      </c>
      <c r="C447" s="20" t="s">
        <v>115</v>
      </c>
      <c r="D447" s="12"/>
      <c r="E447" s="29"/>
      <c r="F447" s="12"/>
      <c r="G447" s="46">
        <v>48</v>
      </c>
      <c r="H447" s="46"/>
      <c r="I447" s="41">
        <f>G447*B447</f>
        <v>48</v>
      </c>
    </row>
    <row r="448" spans="1:9" s="2" customFormat="1" ht="12">
      <c r="A448" s="11" t="s">
        <v>52</v>
      </c>
      <c r="B448" s="10">
        <v>1</v>
      </c>
      <c r="C448" s="20" t="s">
        <v>131</v>
      </c>
      <c r="D448" s="12"/>
      <c r="E448" s="29"/>
      <c r="F448" s="12"/>
      <c r="G448" s="46">
        <v>195</v>
      </c>
      <c r="H448" s="46"/>
      <c r="I448" s="41">
        <f>G448*B448</f>
        <v>195</v>
      </c>
    </row>
    <row r="450" spans="1:9" s="2" customFormat="1" ht="12">
      <c r="A450" s="49" t="s">
        <v>199</v>
      </c>
      <c r="B450" s="49"/>
      <c r="C450" s="49"/>
      <c r="D450" s="49"/>
      <c r="E450" s="49"/>
      <c r="F450" s="49"/>
      <c r="G450" s="49"/>
      <c r="H450" s="49"/>
      <c r="I450" s="51">
        <f>SUM(I453:I462)</f>
        <v>1905</v>
      </c>
    </row>
    <row r="451" spans="1:9" s="2" customFormat="1" ht="12">
      <c r="A451" s="50"/>
      <c r="B451" s="50"/>
      <c r="C451" s="50"/>
      <c r="D451" s="50"/>
      <c r="E451" s="50"/>
      <c r="F451" s="50"/>
      <c r="G451" s="50"/>
      <c r="H451" s="50"/>
      <c r="I451" s="52"/>
    </row>
    <row r="452" spans="1:9" s="2" customFormat="1" ht="12">
      <c r="A452" s="44"/>
      <c r="B452" s="44"/>
      <c r="C452" s="44"/>
      <c r="D452" s="44"/>
      <c r="E452" s="44"/>
      <c r="F452" s="44"/>
      <c r="G452" s="44"/>
      <c r="H452" s="44"/>
      <c r="I452" s="45"/>
    </row>
    <row r="453" spans="1:9" s="2" customFormat="1" ht="12">
      <c r="A453" s="2" t="s">
        <v>38</v>
      </c>
      <c r="B453" s="40">
        <v>2</v>
      </c>
      <c r="C453" s="2" t="s">
        <v>128</v>
      </c>
      <c r="G453" s="18">
        <v>120</v>
      </c>
      <c r="H453" s="5"/>
      <c r="I453" s="41">
        <f t="shared" ref="I453:I460" si="25">G453*B453</f>
        <v>240</v>
      </c>
    </row>
    <row r="454" spans="1:9" s="2" customFormat="1" ht="12">
      <c r="A454" s="2" t="s">
        <v>39</v>
      </c>
      <c r="B454" s="40">
        <v>2</v>
      </c>
      <c r="C454" s="2" t="s">
        <v>129</v>
      </c>
      <c r="G454" s="18">
        <v>58</v>
      </c>
      <c r="H454" s="5"/>
      <c r="I454" s="41">
        <f t="shared" si="25"/>
        <v>116</v>
      </c>
    </row>
    <row r="455" spans="1:9" s="2" customFormat="1" ht="12">
      <c r="A455" s="2" t="s">
        <v>40</v>
      </c>
      <c r="B455" s="40">
        <v>2</v>
      </c>
      <c r="C455" s="2" t="s">
        <v>86</v>
      </c>
      <c r="G455" s="18">
        <v>245</v>
      </c>
      <c r="H455" s="5"/>
      <c r="I455" s="41">
        <f t="shared" si="25"/>
        <v>490</v>
      </c>
    </row>
    <row r="456" spans="1:9" s="2" customFormat="1" ht="12">
      <c r="A456" s="2" t="s">
        <v>41</v>
      </c>
      <c r="B456" s="10">
        <v>3</v>
      </c>
      <c r="C456" s="20" t="s">
        <v>185</v>
      </c>
      <c r="D456" s="12"/>
      <c r="E456" s="29"/>
      <c r="F456" s="12"/>
      <c r="G456" s="46">
        <v>68</v>
      </c>
      <c r="H456" s="46"/>
      <c r="I456" s="41">
        <f t="shared" si="25"/>
        <v>204</v>
      </c>
    </row>
    <row r="457" spans="1:9" s="2" customFormat="1" ht="12">
      <c r="A457" s="11" t="s">
        <v>42</v>
      </c>
      <c r="B457" s="10">
        <v>2</v>
      </c>
      <c r="C457" s="2" t="s">
        <v>215</v>
      </c>
      <c r="D457" s="12"/>
      <c r="E457" s="29"/>
      <c r="F457" s="12"/>
      <c r="G457" s="46">
        <v>210</v>
      </c>
      <c r="H457" s="46"/>
      <c r="I457" s="41">
        <f t="shared" si="25"/>
        <v>420</v>
      </c>
    </row>
    <row r="458" spans="1:9" s="2" customFormat="1" ht="12">
      <c r="A458" s="11" t="s">
        <v>48</v>
      </c>
      <c r="B458" s="10">
        <v>1</v>
      </c>
      <c r="C458" s="20" t="s">
        <v>87</v>
      </c>
      <c r="D458" s="12"/>
      <c r="E458" s="29"/>
      <c r="F458" s="12"/>
      <c r="G458" s="46">
        <v>48</v>
      </c>
      <c r="H458" s="46"/>
      <c r="I458" s="41">
        <f t="shared" si="25"/>
        <v>48</v>
      </c>
    </row>
    <row r="459" spans="1:9" s="2" customFormat="1" ht="12">
      <c r="A459" s="11" t="s">
        <v>49</v>
      </c>
      <c r="B459" s="10">
        <v>2</v>
      </c>
      <c r="C459" s="20" t="s">
        <v>130</v>
      </c>
      <c r="D459" s="12"/>
      <c r="E459" s="29"/>
      <c r="F459" s="12"/>
      <c r="G459" s="46">
        <v>48</v>
      </c>
      <c r="H459" s="46"/>
      <c r="I459" s="41">
        <f t="shared" si="25"/>
        <v>96</v>
      </c>
    </row>
    <row r="460" spans="1:9" s="2" customFormat="1" ht="12">
      <c r="A460" s="11" t="s">
        <v>50</v>
      </c>
      <c r="B460" s="12">
        <v>1</v>
      </c>
      <c r="C460" s="2" t="s">
        <v>133</v>
      </c>
      <c r="G460" s="18">
        <v>48</v>
      </c>
      <c r="H460" s="18"/>
      <c r="I460" s="18">
        <f t="shared" si="25"/>
        <v>48</v>
      </c>
    </row>
    <row r="461" spans="1:9" s="2" customFormat="1" ht="12">
      <c r="A461" s="11" t="s">
        <v>51</v>
      </c>
      <c r="B461" s="10">
        <v>1</v>
      </c>
      <c r="C461" s="20" t="s">
        <v>115</v>
      </c>
      <c r="D461" s="12"/>
      <c r="E461" s="29"/>
      <c r="F461" s="12"/>
      <c r="G461" s="46">
        <v>48</v>
      </c>
      <c r="H461" s="46"/>
      <c r="I461" s="41">
        <f>G461*B461</f>
        <v>48</v>
      </c>
    </row>
    <row r="462" spans="1:9" s="2" customFormat="1" ht="12">
      <c r="A462" s="11" t="s">
        <v>52</v>
      </c>
      <c r="B462" s="10">
        <v>1</v>
      </c>
      <c r="C462" s="20" t="s">
        <v>131</v>
      </c>
      <c r="D462" s="12"/>
      <c r="E462" s="29"/>
      <c r="F462" s="12"/>
      <c r="G462" s="46">
        <v>195</v>
      </c>
      <c r="H462" s="46"/>
      <c r="I462" s="41">
        <f>G462*B462</f>
        <v>195</v>
      </c>
    </row>
    <row r="463" spans="1:9" s="2" customFormat="1" ht="12"/>
    <row r="464" spans="1:9" s="2" customFormat="1" ht="12">
      <c r="A464" s="49" t="s">
        <v>200</v>
      </c>
      <c r="B464" s="49"/>
      <c r="C464" s="49"/>
      <c r="D464" s="49"/>
      <c r="E464" s="49"/>
      <c r="F464" s="49"/>
      <c r="G464" s="49"/>
      <c r="H464" s="49"/>
      <c r="I464" s="51">
        <f>SUM(I467:I476)</f>
        <v>1905</v>
      </c>
    </row>
    <row r="465" spans="1:9" s="2" customFormat="1" ht="12">
      <c r="A465" s="50"/>
      <c r="B465" s="50"/>
      <c r="C465" s="50"/>
      <c r="D465" s="50"/>
      <c r="E465" s="50"/>
      <c r="F465" s="50"/>
      <c r="G465" s="50"/>
      <c r="H465" s="50"/>
      <c r="I465" s="52"/>
    </row>
    <row r="466" spans="1:9" s="2" customFormat="1" ht="12">
      <c r="A466" s="44"/>
      <c r="B466" s="44"/>
      <c r="C466" s="44"/>
      <c r="D466" s="44"/>
      <c r="E466" s="44"/>
      <c r="F466" s="44"/>
      <c r="G466" s="44"/>
      <c r="H466" s="44"/>
      <c r="I466" s="45"/>
    </row>
    <row r="467" spans="1:9" s="2" customFormat="1" ht="12">
      <c r="A467" s="2" t="s">
        <v>38</v>
      </c>
      <c r="B467" s="40">
        <v>2</v>
      </c>
      <c r="C467" s="2" t="s">
        <v>128</v>
      </c>
      <c r="G467" s="18">
        <v>120</v>
      </c>
      <c r="H467" s="5"/>
      <c r="I467" s="41">
        <f>G467*B467</f>
        <v>240</v>
      </c>
    </row>
    <row r="468" spans="1:9" s="2" customFormat="1" ht="12">
      <c r="A468" s="2" t="s">
        <v>39</v>
      </c>
      <c r="B468" s="40">
        <v>2</v>
      </c>
      <c r="C468" s="2" t="s">
        <v>129</v>
      </c>
      <c r="G468" s="18">
        <v>58</v>
      </c>
      <c r="H468" s="5"/>
      <c r="I468" s="41">
        <f>G468*B468</f>
        <v>116</v>
      </c>
    </row>
    <row r="469" spans="1:9" s="2" customFormat="1" ht="12">
      <c r="A469" s="2" t="s">
        <v>40</v>
      </c>
      <c r="B469" s="40">
        <v>2</v>
      </c>
      <c r="C469" s="2" t="s">
        <v>86</v>
      </c>
      <c r="G469" s="18">
        <v>245</v>
      </c>
      <c r="H469" s="5"/>
      <c r="I469" s="41">
        <f>G469*B469</f>
        <v>490</v>
      </c>
    </row>
    <row r="470" spans="1:9" s="2" customFormat="1" ht="12">
      <c r="A470" s="2" t="s">
        <v>41</v>
      </c>
      <c r="B470" s="10">
        <v>3</v>
      </c>
      <c r="C470" s="20" t="s">
        <v>185</v>
      </c>
      <c r="D470" s="12"/>
      <c r="E470" s="29"/>
      <c r="F470" s="12"/>
      <c r="G470" s="46">
        <v>68</v>
      </c>
      <c r="H470" s="46"/>
      <c r="I470" s="41">
        <f>G470*B470</f>
        <v>204</v>
      </c>
    </row>
    <row r="471" spans="1:9" s="2" customFormat="1" ht="12">
      <c r="A471" s="11" t="s">
        <v>42</v>
      </c>
      <c r="B471" s="10">
        <v>2</v>
      </c>
      <c r="C471" s="2" t="s">
        <v>215</v>
      </c>
      <c r="D471" s="12"/>
      <c r="E471" s="29"/>
      <c r="F471" s="12"/>
      <c r="G471" s="46">
        <v>210</v>
      </c>
      <c r="H471" s="46"/>
      <c r="I471" s="41">
        <f>G471*B471</f>
        <v>420</v>
      </c>
    </row>
    <row r="472" spans="1:9" s="2" customFormat="1" ht="12">
      <c r="A472" s="11" t="s">
        <v>48</v>
      </c>
      <c r="B472" s="10">
        <v>1</v>
      </c>
      <c r="C472" s="20" t="s">
        <v>87</v>
      </c>
      <c r="D472" s="12"/>
      <c r="E472" s="29"/>
      <c r="F472" s="12"/>
      <c r="G472" s="46">
        <v>48</v>
      </c>
      <c r="H472" s="46"/>
      <c r="I472" s="41">
        <f>G472*B472</f>
        <v>48</v>
      </c>
    </row>
    <row r="473" spans="1:9" s="2" customFormat="1" ht="12">
      <c r="A473" s="11" t="s">
        <v>49</v>
      </c>
      <c r="B473" s="10">
        <v>2</v>
      </c>
      <c r="C473" s="20" t="s">
        <v>130</v>
      </c>
      <c r="D473" s="12"/>
      <c r="E473" s="29"/>
      <c r="F473" s="12"/>
      <c r="G473" s="46">
        <v>48</v>
      </c>
      <c r="H473" s="46"/>
      <c r="I473" s="41">
        <f>G473*B473</f>
        <v>96</v>
      </c>
    </row>
    <row r="474" spans="1:9" s="2" customFormat="1" ht="12">
      <c r="A474" s="11" t="s">
        <v>50</v>
      </c>
      <c r="B474" s="12">
        <v>1</v>
      </c>
      <c r="C474" s="2" t="s">
        <v>133</v>
      </c>
      <c r="G474" s="18">
        <v>48</v>
      </c>
      <c r="H474" s="18"/>
      <c r="I474" s="18">
        <f t="shared" ref="I474" si="26">G474*B474</f>
        <v>48</v>
      </c>
    </row>
    <row r="475" spans="1:9" s="2" customFormat="1" ht="12">
      <c r="A475" s="11" t="s">
        <v>51</v>
      </c>
      <c r="B475" s="10">
        <v>1</v>
      </c>
      <c r="C475" s="20" t="s">
        <v>115</v>
      </c>
      <c r="D475" s="12"/>
      <c r="E475" s="29"/>
      <c r="F475" s="12"/>
      <c r="G475" s="46">
        <v>48</v>
      </c>
      <c r="H475" s="46"/>
      <c r="I475" s="41">
        <f>G475*B475</f>
        <v>48</v>
      </c>
    </row>
    <row r="476" spans="1:9" s="2" customFormat="1" ht="12">
      <c r="A476" s="11" t="s">
        <v>52</v>
      </c>
      <c r="B476" s="10">
        <v>1</v>
      </c>
      <c r="C476" s="20" t="s">
        <v>131</v>
      </c>
      <c r="D476" s="12"/>
      <c r="E476" s="29"/>
      <c r="F476" s="12"/>
      <c r="G476" s="46">
        <v>195</v>
      </c>
      <c r="H476" s="46"/>
      <c r="I476" s="41">
        <f>G476*B476</f>
        <v>195</v>
      </c>
    </row>
    <row r="477" spans="1:9" s="2" customFormat="1" ht="12">
      <c r="A477" s="11"/>
      <c r="B477" s="10"/>
      <c r="C477" s="20"/>
      <c r="D477" s="12"/>
      <c r="E477" s="29"/>
      <c r="F477" s="12"/>
      <c r="G477" s="46"/>
      <c r="H477" s="46"/>
      <c r="I477" s="41"/>
    </row>
    <row r="478" spans="1:9" s="2" customFormat="1" ht="12">
      <c r="A478" s="11" t="s">
        <v>33</v>
      </c>
      <c r="B478" s="10"/>
      <c r="C478" s="20"/>
      <c r="D478" s="12"/>
      <c r="E478" s="29" t="s">
        <v>34</v>
      </c>
      <c r="F478" s="12" t="str">
        <f>D7</f>
        <v>2211AM01S</v>
      </c>
      <c r="G478" s="53" t="str">
        <f>D11</f>
        <v>AM FAIRMOUNT</v>
      </c>
      <c r="H478" s="53"/>
      <c r="I478" s="35" t="s">
        <v>138</v>
      </c>
    </row>
    <row r="479" spans="1:9" s="2" customFormat="1" ht="12">
      <c r="A479" s="11"/>
      <c r="B479" s="10"/>
      <c r="C479" s="20"/>
      <c r="D479" s="12"/>
      <c r="E479" s="29"/>
      <c r="F479" s="12"/>
      <c r="G479" s="46"/>
      <c r="H479" s="46"/>
      <c r="I479" s="41"/>
    </row>
    <row r="480" spans="1:9" s="2" customFormat="1" ht="12">
      <c r="A480" s="49" t="s">
        <v>201</v>
      </c>
      <c r="B480" s="49"/>
      <c r="C480" s="49"/>
      <c r="D480" s="49"/>
      <c r="E480" s="49"/>
      <c r="F480" s="49"/>
      <c r="G480" s="49"/>
      <c r="H480" s="49"/>
      <c r="I480" s="51">
        <f>SUM(I483:I492)</f>
        <v>1905</v>
      </c>
    </row>
    <row r="481" spans="1:9" s="2" customFormat="1" ht="12">
      <c r="A481" s="50"/>
      <c r="B481" s="50"/>
      <c r="C481" s="50"/>
      <c r="D481" s="50"/>
      <c r="E481" s="50"/>
      <c r="F481" s="50"/>
      <c r="G481" s="50"/>
      <c r="H481" s="50"/>
      <c r="I481" s="52"/>
    </row>
    <row r="482" spans="1:9" s="2" customFormat="1" ht="12">
      <c r="A482" s="44"/>
      <c r="B482" s="44"/>
      <c r="C482" s="44"/>
      <c r="D482" s="44"/>
      <c r="E482" s="44"/>
      <c r="F482" s="44"/>
      <c r="G482" s="44"/>
      <c r="H482" s="44"/>
      <c r="I482" s="45"/>
    </row>
    <row r="483" spans="1:9" s="2" customFormat="1" ht="12">
      <c r="A483" s="2" t="s">
        <v>38</v>
      </c>
      <c r="B483" s="40">
        <v>2</v>
      </c>
      <c r="C483" s="2" t="s">
        <v>128</v>
      </c>
      <c r="G483" s="18">
        <v>120</v>
      </c>
      <c r="H483" s="5"/>
      <c r="I483" s="41">
        <f t="shared" ref="I483:I490" si="27">G483*B483</f>
        <v>240</v>
      </c>
    </row>
    <row r="484" spans="1:9" s="2" customFormat="1" ht="12">
      <c r="A484" s="2" t="s">
        <v>39</v>
      </c>
      <c r="B484" s="40">
        <v>2</v>
      </c>
      <c r="C484" s="2" t="s">
        <v>129</v>
      </c>
      <c r="G484" s="18">
        <v>58</v>
      </c>
      <c r="H484" s="5"/>
      <c r="I484" s="41">
        <f t="shared" si="27"/>
        <v>116</v>
      </c>
    </row>
    <row r="485" spans="1:9" s="2" customFormat="1" ht="12">
      <c r="A485" s="2" t="s">
        <v>40</v>
      </c>
      <c r="B485" s="40">
        <v>2</v>
      </c>
      <c r="C485" s="2" t="s">
        <v>86</v>
      </c>
      <c r="G485" s="18">
        <v>245</v>
      </c>
      <c r="H485" s="5"/>
      <c r="I485" s="41">
        <f t="shared" si="27"/>
        <v>490</v>
      </c>
    </row>
    <row r="486" spans="1:9" s="2" customFormat="1" ht="12">
      <c r="A486" s="2" t="s">
        <v>41</v>
      </c>
      <c r="B486" s="10">
        <v>3</v>
      </c>
      <c r="C486" s="20" t="s">
        <v>185</v>
      </c>
      <c r="D486" s="12"/>
      <c r="E486" s="29"/>
      <c r="F486" s="12"/>
      <c r="G486" s="46">
        <v>68</v>
      </c>
      <c r="H486" s="46"/>
      <c r="I486" s="41">
        <f t="shared" si="27"/>
        <v>204</v>
      </c>
    </row>
    <row r="487" spans="1:9" s="2" customFormat="1" ht="12">
      <c r="A487" s="11" t="s">
        <v>42</v>
      </c>
      <c r="B487" s="10">
        <v>2</v>
      </c>
      <c r="C487" s="2" t="s">
        <v>215</v>
      </c>
      <c r="D487" s="12"/>
      <c r="E487" s="29"/>
      <c r="F487" s="12"/>
      <c r="G487" s="46">
        <v>210</v>
      </c>
      <c r="H487" s="46"/>
      <c r="I487" s="41">
        <f t="shared" si="27"/>
        <v>420</v>
      </c>
    </row>
    <row r="488" spans="1:9" s="2" customFormat="1" ht="12">
      <c r="A488" s="11" t="s">
        <v>48</v>
      </c>
      <c r="B488" s="10">
        <v>1</v>
      </c>
      <c r="C488" s="20" t="s">
        <v>87</v>
      </c>
      <c r="D488" s="12"/>
      <c r="E488" s="29"/>
      <c r="F488" s="12"/>
      <c r="G488" s="46">
        <v>48</v>
      </c>
      <c r="H488" s="46"/>
      <c r="I488" s="41">
        <f t="shared" si="27"/>
        <v>48</v>
      </c>
    </row>
    <row r="489" spans="1:9" s="2" customFormat="1" ht="12">
      <c r="A489" s="11" t="s">
        <v>49</v>
      </c>
      <c r="B489" s="10">
        <v>2</v>
      </c>
      <c r="C489" s="20" t="s">
        <v>130</v>
      </c>
      <c r="D489" s="12"/>
      <c r="E489" s="29"/>
      <c r="F489" s="12"/>
      <c r="G489" s="46">
        <v>48</v>
      </c>
      <c r="H489" s="46"/>
      <c r="I489" s="41">
        <f t="shared" si="27"/>
        <v>96</v>
      </c>
    </row>
    <row r="490" spans="1:9" s="2" customFormat="1" ht="12">
      <c r="A490" s="11" t="s">
        <v>50</v>
      </c>
      <c r="B490" s="12">
        <v>1</v>
      </c>
      <c r="C490" s="2" t="s">
        <v>133</v>
      </c>
      <c r="G490" s="18">
        <v>48</v>
      </c>
      <c r="H490" s="18"/>
      <c r="I490" s="18">
        <f t="shared" si="27"/>
        <v>48</v>
      </c>
    </row>
    <row r="491" spans="1:9" s="2" customFormat="1" ht="12">
      <c r="A491" s="11" t="s">
        <v>51</v>
      </c>
      <c r="B491" s="10">
        <v>1</v>
      </c>
      <c r="C491" s="20" t="s">
        <v>115</v>
      </c>
      <c r="D491" s="12"/>
      <c r="E491" s="29"/>
      <c r="F491" s="12"/>
      <c r="G491" s="46">
        <v>48</v>
      </c>
      <c r="H491" s="46"/>
      <c r="I491" s="41">
        <f>G491*B491</f>
        <v>48</v>
      </c>
    </row>
    <row r="492" spans="1:9" s="2" customFormat="1" ht="12">
      <c r="A492" s="11" t="s">
        <v>52</v>
      </c>
      <c r="B492" s="10">
        <v>1</v>
      </c>
      <c r="C492" s="20" t="s">
        <v>131</v>
      </c>
      <c r="D492" s="12"/>
      <c r="E492" s="29"/>
      <c r="F492" s="12"/>
      <c r="G492" s="46">
        <v>195</v>
      </c>
      <c r="H492" s="46"/>
      <c r="I492" s="41">
        <f>G492*B492</f>
        <v>195</v>
      </c>
    </row>
    <row r="494" spans="1:9" s="2" customFormat="1" ht="12">
      <c r="A494" s="49" t="s">
        <v>202</v>
      </c>
      <c r="B494" s="49"/>
      <c r="C494" s="49"/>
      <c r="D494" s="49"/>
      <c r="E494" s="49"/>
      <c r="F494" s="49"/>
      <c r="G494" s="49"/>
      <c r="H494" s="49"/>
      <c r="I494" s="51">
        <f>SUM(I497:I506)</f>
        <v>1905</v>
      </c>
    </row>
    <row r="495" spans="1:9" s="2" customFormat="1" ht="12">
      <c r="A495" s="50"/>
      <c r="B495" s="50"/>
      <c r="C495" s="50"/>
      <c r="D495" s="50"/>
      <c r="E495" s="50"/>
      <c r="F495" s="50"/>
      <c r="G495" s="50"/>
      <c r="H495" s="50"/>
      <c r="I495" s="52"/>
    </row>
    <row r="496" spans="1:9" s="2" customFormat="1" ht="12">
      <c r="A496" s="44"/>
      <c r="B496" s="44"/>
      <c r="C496" s="44"/>
      <c r="D496" s="44"/>
      <c r="E496" s="44"/>
      <c r="F496" s="44"/>
      <c r="G496" s="44"/>
      <c r="H496" s="44"/>
      <c r="I496" s="45"/>
    </row>
    <row r="497" spans="1:9" s="2" customFormat="1" ht="12">
      <c r="A497" s="2" t="s">
        <v>38</v>
      </c>
      <c r="B497" s="40">
        <v>2</v>
      </c>
      <c r="C497" s="2" t="s">
        <v>128</v>
      </c>
      <c r="G497" s="18">
        <v>120</v>
      </c>
      <c r="H497" s="5"/>
      <c r="I497" s="41">
        <f t="shared" ref="I497:I504" si="28">G497*B497</f>
        <v>240</v>
      </c>
    </row>
    <row r="498" spans="1:9" s="2" customFormat="1" ht="12">
      <c r="A498" s="2" t="s">
        <v>39</v>
      </c>
      <c r="B498" s="40">
        <v>2</v>
      </c>
      <c r="C498" s="2" t="s">
        <v>129</v>
      </c>
      <c r="G498" s="18">
        <v>58</v>
      </c>
      <c r="H498" s="5"/>
      <c r="I498" s="41">
        <f t="shared" si="28"/>
        <v>116</v>
      </c>
    </row>
    <row r="499" spans="1:9" s="2" customFormat="1" ht="12">
      <c r="A499" s="2" t="s">
        <v>40</v>
      </c>
      <c r="B499" s="40">
        <v>2</v>
      </c>
      <c r="C499" s="2" t="s">
        <v>86</v>
      </c>
      <c r="G499" s="18">
        <v>245</v>
      </c>
      <c r="H499" s="5"/>
      <c r="I499" s="41">
        <f t="shared" si="28"/>
        <v>490</v>
      </c>
    </row>
    <row r="500" spans="1:9" s="2" customFormat="1" ht="12">
      <c r="A500" s="2" t="s">
        <v>41</v>
      </c>
      <c r="B500" s="10">
        <v>3</v>
      </c>
      <c r="C500" s="20" t="s">
        <v>185</v>
      </c>
      <c r="D500" s="12"/>
      <c r="E500" s="29"/>
      <c r="F500" s="12"/>
      <c r="G500" s="46">
        <v>68</v>
      </c>
      <c r="H500" s="46"/>
      <c r="I500" s="41">
        <f t="shared" si="28"/>
        <v>204</v>
      </c>
    </row>
    <row r="501" spans="1:9" s="2" customFormat="1" ht="12">
      <c r="A501" s="11" t="s">
        <v>42</v>
      </c>
      <c r="B501" s="10">
        <v>2</v>
      </c>
      <c r="C501" s="2" t="s">
        <v>215</v>
      </c>
      <c r="D501" s="12"/>
      <c r="E501" s="29"/>
      <c r="F501" s="12"/>
      <c r="G501" s="46">
        <v>210</v>
      </c>
      <c r="H501" s="46"/>
      <c r="I501" s="41">
        <f t="shared" si="28"/>
        <v>420</v>
      </c>
    </row>
    <row r="502" spans="1:9" s="2" customFormat="1" ht="12">
      <c r="A502" s="11" t="s">
        <v>48</v>
      </c>
      <c r="B502" s="10">
        <v>1</v>
      </c>
      <c r="C502" s="20" t="s">
        <v>87</v>
      </c>
      <c r="D502" s="12"/>
      <c r="E502" s="29"/>
      <c r="F502" s="12"/>
      <c r="G502" s="46">
        <v>48</v>
      </c>
      <c r="H502" s="46"/>
      <c r="I502" s="41">
        <f t="shared" si="28"/>
        <v>48</v>
      </c>
    </row>
    <row r="503" spans="1:9" s="2" customFormat="1" ht="12">
      <c r="A503" s="11" t="s">
        <v>49</v>
      </c>
      <c r="B503" s="10">
        <v>2</v>
      </c>
      <c r="C503" s="20" t="s">
        <v>130</v>
      </c>
      <c r="D503" s="12"/>
      <c r="E503" s="29"/>
      <c r="F503" s="12"/>
      <c r="G503" s="46">
        <v>48</v>
      </c>
      <c r="H503" s="46"/>
      <c r="I503" s="41">
        <f t="shared" si="28"/>
        <v>96</v>
      </c>
    </row>
    <row r="504" spans="1:9" s="2" customFormat="1" ht="12">
      <c r="A504" s="11" t="s">
        <v>50</v>
      </c>
      <c r="B504" s="12">
        <v>1</v>
      </c>
      <c r="C504" s="2" t="s">
        <v>133</v>
      </c>
      <c r="G504" s="18">
        <v>48</v>
      </c>
      <c r="H504" s="18"/>
      <c r="I504" s="18">
        <f t="shared" si="28"/>
        <v>48</v>
      </c>
    </row>
    <row r="505" spans="1:9" s="2" customFormat="1" ht="12">
      <c r="A505" s="11" t="s">
        <v>51</v>
      </c>
      <c r="B505" s="10">
        <v>1</v>
      </c>
      <c r="C505" s="20" t="s">
        <v>115</v>
      </c>
      <c r="D505" s="12"/>
      <c r="E505" s="29"/>
      <c r="F505" s="12"/>
      <c r="G505" s="46">
        <v>48</v>
      </c>
      <c r="H505" s="46"/>
      <c r="I505" s="41">
        <f>G505*B505</f>
        <v>48</v>
      </c>
    </row>
    <row r="506" spans="1:9" s="2" customFormat="1" ht="12">
      <c r="A506" s="11" t="s">
        <v>52</v>
      </c>
      <c r="B506" s="10">
        <v>1</v>
      </c>
      <c r="C506" s="20" t="s">
        <v>131</v>
      </c>
      <c r="D506" s="12"/>
      <c r="E506" s="29"/>
      <c r="F506" s="12"/>
      <c r="G506" s="46">
        <v>195</v>
      </c>
      <c r="H506" s="46"/>
      <c r="I506" s="41">
        <f>G506*B506</f>
        <v>195</v>
      </c>
    </row>
    <row r="507" spans="1:9" s="2" customFormat="1" ht="12">
      <c r="A507" s="11"/>
      <c r="B507" s="10"/>
      <c r="C507" s="20"/>
      <c r="D507" s="12"/>
      <c r="E507" s="29"/>
      <c r="F507" s="12"/>
      <c r="G507" s="46"/>
      <c r="H507" s="46"/>
      <c r="I507" s="41"/>
    </row>
    <row r="508" spans="1:9" s="2" customFormat="1" ht="12">
      <c r="A508" s="49" t="s">
        <v>203</v>
      </c>
      <c r="B508" s="49"/>
      <c r="C508" s="49"/>
      <c r="D508" s="49"/>
      <c r="E508" s="49"/>
      <c r="F508" s="49"/>
      <c r="G508" s="49"/>
      <c r="H508" s="49"/>
      <c r="I508" s="51">
        <f>SUM(I511:I520)</f>
        <v>1905</v>
      </c>
    </row>
    <row r="509" spans="1:9" s="2" customFormat="1" ht="12">
      <c r="A509" s="50"/>
      <c r="B509" s="50"/>
      <c r="C509" s="50"/>
      <c r="D509" s="50"/>
      <c r="E509" s="50"/>
      <c r="F509" s="50"/>
      <c r="G509" s="50"/>
      <c r="H509" s="50"/>
      <c r="I509" s="52"/>
    </row>
    <row r="510" spans="1:9" s="2" customFormat="1" ht="12">
      <c r="A510" s="44"/>
      <c r="B510" s="44"/>
      <c r="C510" s="44"/>
      <c r="D510" s="44"/>
      <c r="E510" s="44"/>
      <c r="F510" s="44"/>
      <c r="G510" s="44"/>
      <c r="H510" s="44"/>
      <c r="I510" s="45"/>
    </row>
    <row r="511" spans="1:9" s="2" customFormat="1" ht="12">
      <c r="A511" s="2" t="s">
        <v>38</v>
      </c>
      <c r="B511" s="40">
        <v>2</v>
      </c>
      <c r="C511" s="2" t="s">
        <v>128</v>
      </c>
      <c r="G511" s="18">
        <v>120</v>
      </c>
      <c r="H511" s="5"/>
      <c r="I511" s="41">
        <f t="shared" ref="I511:I518" si="29">G511*B511</f>
        <v>240</v>
      </c>
    </row>
    <row r="512" spans="1:9" s="2" customFormat="1" ht="12">
      <c r="A512" s="2" t="s">
        <v>39</v>
      </c>
      <c r="B512" s="40">
        <v>2</v>
      </c>
      <c r="C512" s="2" t="s">
        <v>129</v>
      </c>
      <c r="G512" s="18">
        <v>58</v>
      </c>
      <c r="H512" s="5"/>
      <c r="I512" s="41">
        <f t="shared" si="29"/>
        <v>116</v>
      </c>
    </row>
    <row r="513" spans="1:9" s="2" customFormat="1" ht="12">
      <c r="A513" s="2" t="s">
        <v>40</v>
      </c>
      <c r="B513" s="40">
        <v>2</v>
      </c>
      <c r="C513" s="2" t="s">
        <v>86</v>
      </c>
      <c r="G513" s="18">
        <v>245</v>
      </c>
      <c r="H513" s="5"/>
      <c r="I513" s="41">
        <f t="shared" si="29"/>
        <v>490</v>
      </c>
    </row>
    <row r="514" spans="1:9" s="2" customFormat="1" ht="12">
      <c r="A514" s="2" t="s">
        <v>41</v>
      </c>
      <c r="B514" s="10">
        <v>3</v>
      </c>
      <c r="C514" s="20" t="s">
        <v>185</v>
      </c>
      <c r="D514" s="12"/>
      <c r="E514" s="29"/>
      <c r="F514" s="12"/>
      <c r="G514" s="46">
        <v>68</v>
      </c>
      <c r="H514" s="46"/>
      <c r="I514" s="41">
        <f t="shared" si="29"/>
        <v>204</v>
      </c>
    </row>
    <row r="515" spans="1:9" s="2" customFormat="1" ht="12">
      <c r="A515" s="11" t="s">
        <v>42</v>
      </c>
      <c r="B515" s="10">
        <v>2</v>
      </c>
      <c r="C515" s="2" t="s">
        <v>215</v>
      </c>
      <c r="D515" s="12"/>
      <c r="E515" s="29"/>
      <c r="F515" s="12"/>
      <c r="G515" s="46">
        <v>210</v>
      </c>
      <c r="H515" s="46"/>
      <c r="I515" s="41">
        <f t="shared" si="29"/>
        <v>420</v>
      </c>
    </row>
    <row r="516" spans="1:9" s="2" customFormat="1" ht="12">
      <c r="A516" s="11" t="s">
        <v>48</v>
      </c>
      <c r="B516" s="10">
        <v>1</v>
      </c>
      <c r="C516" s="20" t="s">
        <v>87</v>
      </c>
      <c r="D516" s="12"/>
      <c r="E516" s="29"/>
      <c r="F516" s="12"/>
      <c r="G516" s="46">
        <v>48</v>
      </c>
      <c r="H516" s="46"/>
      <c r="I516" s="41">
        <f t="shared" si="29"/>
        <v>48</v>
      </c>
    </row>
    <row r="517" spans="1:9" s="2" customFormat="1" ht="12">
      <c r="A517" s="11" t="s">
        <v>49</v>
      </c>
      <c r="B517" s="10">
        <v>2</v>
      </c>
      <c r="C517" s="20" t="s">
        <v>130</v>
      </c>
      <c r="D517" s="12"/>
      <c r="E517" s="29"/>
      <c r="F517" s="12"/>
      <c r="G517" s="46">
        <v>48</v>
      </c>
      <c r="H517" s="46"/>
      <c r="I517" s="41">
        <f t="shared" si="29"/>
        <v>96</v>
      </c>
    </row>
    <row r="518" spans="1:9" s="2" customFormat="1" ht="12">
      <c r="A518" s="11" t="s">
        <v>50</v>
      </c>
      <c r="B518" s="12">
        <v>1</v>
      </c>
      <c r="C518" s="2" t="s">
        <v>133</v>
      </c>
      <c r="G518" s="18">
        <v>48</v>
      </c>
      <c r="H518" s="18"/>
      <c r="I518" s="18">
        <f t="shared" si="29"/>
        <v>48</v>
      </c>
    </row>
    <row r="519" spans="1:9" s="2" customFormat="1" ht="12">
      <c r="A519" s="11" t="s">
        <v>51</v>
      </c>
      <c r="B519" s="10">
        <v>1</v>
      </c>
      <c r="C519" s="20" t="s">
        <v>115</v>
      </c>
      <c r="D519" s="12"/>
      <c r="E519" s="29"/>
      <c r="F519" s="12"/>
      <c r="G519" s="46">
        <v>48</v>
      </c>
      <c r="H519" s="46"/>
      <c r="I519" s="41">
        <f>G519*B519</f>
        <v>48</v>
      </c>
    </row>
    <row r="520" spans="1:9" s="2" customFormat="1" ht="12">
      <c r="A520" s="11" t="s">
        <v>52</v>
      </c>
      <c r="B520" s="10">
        <v>1</v>
      </c>
      <c r="C520" s="20" t="s">
        <v>131</v>
      </c>
      <c r="D520" s="12"/>
      <c r="E520" s="29"/>
      <c r="F520" s="12"/>
      <c r="G520" s="46">
        <v>195</v>
      </c>
      <c r="H520" s="46"/>
      <c r="I520" s="41">
        <f>G520*B520</f>
        <v>195</v>
      </c>
    </row>
    <row r="521" spans="1:9" s="2" customFormat="1" ht="12">
      <c r="A521" s="11"/>
      <c r="B521" s="10"/>
      <c r="C521" s="20"/>
      <c r="D521" s="12"/>
      <c r="E521" s="29"/>
      <c r="F521" s="12"/>
      <c r="G521" s="46"/>
      <c r="H521" s="46"/>
      <c r="I521" s="41"/>
    </row>
    <row r="522" spans="1:9" s="2" customFormat="1" ht="12">
      <c r="A522" s="49" t="s">
        <v>204</v>
      </c>
      <c r="B522" s="49"/>
      <c r="C522" s="49"/>
      <c r="D522" s="49"/>
      <c r="E522" s="49"/>
      <c r="F522" s="49"/>
      <c r="G522" s="49"/>
      <c r="H522" s="49"/>
      <c r="I522" s="51">
        <f>SUM(I525:I539)</f>
        <v>1905</v>
      </c>
    </row>
    <row r="523" spans="1:9" s="2" customFormat="1" ht="12">
      <c r="A523" s="50"/>
      <c r="B523" s="50"/>
      <c r="C523" s="50"/>
      <c r="D523" s="50"/>
      <c r="E523" s="50"/>
      <c r="F523" s="50"/>
      <c r="G523" s="50"/>
      <c r="H523" s="50"/>
      <c r="I523" s="52"/>
    </row>
    <row r="524" spans="1:9" s="2" customFormat="1" ht="12">
      <c r="A524" s="44"/>
      <c r="B524" s="44"/>
      <c r="C524" s="44"/>
      <c r="D524" s="44"/>
      <c r="E524" s="44"/>
      <c r="F524" s="44"/>
      <c r="G524" s="44"/>
      <c r="H524" s="44"/>
      <c r="I524" s="45"/>
    </row>
    <row r="525" spans="1:9" s="2" customFormat="1" ht="12">
      <c r="A525" s="2" t="s">
        <v>38</v>
      </c>
      <c r="B525" s="40">
        <v>2</v>
      </c>
      <c r="C525" s="2" t="s">
        <v>128</v>
      </c>
      <c r="G525" s="18">
        <v>120</v>
      </c>
      <c r="H525" s="5"/>
      <c r="I525" s="41">
        <f>G525*B525</f>
        <v>240</v>
      </c>
    </row>
    <row r="526" spans="1:9" s="2" customFormat="1" ht="12">
      <c r="A526" s="2" t="s">
        <v>39</v>
      </c>
      <c r="B526" s="40">
        <v>2</v>
      </c>
      <c r="C526" s="2" t="s">
        <v>129</v>
      </c>
      <c r="G526" s="18">
        <v>58</v>
      </c>
      <c r="H526" s="5"/>
      <c r="I526" s="41">
        <f>G526*B526</f>
        <v>116</v>
      </c>
    </row>
    <row r="527" spans="1:9" s="2" customFormat="1" ht="12">
      <c r="A527" s="2" t="s">
        <v>40</v>
      </c>
      <c r="B527" s="40">
        <v>2</v>
      </c>
      <c r="C527" s="2" t="s">
        <v>86</v>
      </c>
      <c r="G527" s="18">
        <v>245</v>
      </c>
      <c r="H527" s="5"/>
      <c r="I527" s="41">
        <f>G527*B527</f>
        <v>490</v>
      </c>
    </row>
    <row r="528" spans="1:9" s="2" customFormat="1" ht="12">
      <c r="A528" s="2" t="s">
        <v>41</v>
      </c>
      <c r="B528" s="10">
        <v>3</v>
      </c>
      <c r="C528" s="20" t="s">
        <v>185</v>
      </c>
      <c r="D528" s="12"/>
      <c r="E528" s="29"/>
      <c r="F528" s="12"/>
      <c r="G528" s="46">
        <v>68</v>
      </c>
      <c r="H528" s="46"/>
      <c r="I528" s="41">
        <f>G528*B528</f>
        <v>204</v>
      </c>
    </row>
    <row r="529" spans="1:9" s="2" customFormat="1" ht="12">
      <c r="A529" s="11" t="s">
        <v>42</v>
      </c>
      <c r="B529" s="10">
        <v>2</v>
      </c>
      <c r="C529" s="2" t="s">
        <v>215</v>
      </c>
      <c r="D529" s="12"/>
      <c r="E529" s="29"/>
      <c r="F529" s="12"/>
      <c r="G529" s="46">
        <v>210</v>
      </c>
      <c r="H529" s="46"/>
      <c r="I529" s="41">
        <f>G529*B529</f>
        <v>420</v>
      </c>
    </row>
    <row r="530" spans="1:9" s="2" customFormat="1" ht="12">
      <c r="A530" s="11" t="s">
        <v>48</v>
      </c>
      <c r="B530" s="10">
        <v>1</v>
      </c>
      <c r="C530" s="20" t="s">
        <v>87</v>
      </c>
      <c r="D530" s="12"/>
      <c r="E530" s="29"/>
      <c r="F530" s="12"/>
      <c r="G530" s="46">
        <v>48</v>
      </c>
      <c r="H530" s="46"/>
      <c r="I530" s="41">
        <f>G530*B530</f>
        <v>48</v>
      </c>
    </row>
    <row r="531" spans="1:9" s="2" customFormat="1" ht="12">
      <c r="A531" s="11" t="s">
        <v>33</v>
      </c>
      <c r="B531" s="10"/>
      <c r="C531" s="20"/>
      <c r="D531" s="12"/>
      <c r="E531" s="29" t="s">
        <v>34</v>
      </c>
      <c r="F531" s="12" t="str">
        <f>D7</f>
        <v>2211AM01S</v>
      </c>
      <c r="G531" s="53" t="str">
        <f>D11</f>
        <v>AM FAIRMOUNT</v>
      </c>
      <c r="H531" s="53"/>
      <c r="I531" s="35" t="s">
        <v>139</v>
      </c>
    </row>
    <row r="532" spans="1:9" s="2" customFormat="1" ht="12">
      <c r="A532" s="11"/>
      <c r="B532" s="10"/>
      <c r="D532" s="12"/>
      <c r="E532" s="29"/>
      <c r="F532" s="12"/>
      <c r="G532" s="46"/>
      <c r="H532" s="46"/>
      <c r="I532" s="41"/>
    </row>
    <row r="533" spans="1:9" s="2" customFormat="1" ht="12">
      <c r="A533" s="49" t="s">
        <v>220</v>
      </c>
      <c r="B533" s="49"/>
      <c r="C533" s="49"/>
      <c r="D533" s="49"/>
      <c r="E533" s="49"/>
      <c r="F533" s="49"/>
      <c r="G533" s="49"/>
      <c r="H533" s="49"/>
      <c r="I533" s="51"/>
    </row>
    <row r="534" spans="1:9" s="2" customFormat="1" ht="12">
      <c r="A534" s="50"/>
      <c r="B534" s="50"/>
      <c r="C534" s="50"/>
      <c r="D534" s="50"/>
      <c r="E534" s="50"/>
      <c r="F534" s="50"/>
      <c r="G534" s="50"/>
      <c r="H534" s="50"/>
      <c r="I534" s="52"/>
    </row>
    <row r="535" spans="1:9" s="2" customFormat="1" ht="12">
      <c r="A535" s="11"/>
      <c r="B535" s="10"/>
      <c r="D535" s="12"/>
      <c r="E535" s="29"/>
      <c r="F535" s="12"/>
      <c r="G535" s="46"/>
      <c r="H535" s="46"/>
      <c r="I535" s="41"/>
    </row>
    <row r="536" spans="1:9" s="2" customFormat="1" ht="12">
      <c r="A536" s="11" t="s">
        <v>49</v>
      </c>
      <c r="B536" s="10">
        <v>2</v>
      </c>
      <c r="C536" s="20" t="s">
        <v>130</v>
      </c>
      <c r="D536" s="12"/>
      <c r="E536" s="29"/>
      <c r="F536" s="12"/>
      <c r="G536" s="46">
        <v>48</v>
      </c>
      <c r="H536" s="46"/>
      <c r="I536" s="41">
        <f>G536*B536</f>
        <v>96</v>
      </c>
    </row>
    <row r="537" spans="1:9" s="2" customFormat="1" ht="12">
      <c r="A537" s="11" t="s">
        <v>50</v>
      </c>
      <c r="B537" s="12">
        <v>1</v>
      </c>
      <c r="C537" s="2" t="s">
        <v>133</v>
      </c>
      <c r="G537" s="18">
        <v>48</v>
      </c>
      <c r="H537" s="18"/>
      <c r="I537" s="18">
        <f>G537*B537</f>
        <v>48</v>
      </c>
    </row>
    <row r="538" spans="1:9" s="2" customFormat="1" ht="12">
      <c r="A538" s="11" t="s">
        <v>51</v>
      </c>
      <c r="B538" s="10">
        <v>1</v>
      </c>
      <c r="C538" s="20" t="s">
        <v>115</v>
      </c>
      <c r="D538" s="12"/>
      <c r="E538" s="29"/>
      <c r="F538" s="12"/>
      <c r="G538" s="46">
        <v>48</v>
      </c>
      <c r="H538" s="46"/>
      <c r="I538" s="41">
        <f>G538*B538</f>
        <v>48</v>
      </c>
    </row>
    <row r="539" spans="1:9" s="2" customFormat="1" ht="12">
      <c r="A539" s="11" t="s">
        <v>52</v>
      </c>
      <c r="B539" s="10">
        <v>1</v>
      </c>
      <c r="C539" s="20" t="s">
        <v>131</v>
      </c>
      <c r="D539" s="12"/>
      <c r="E539" s="29"/>
      <c r="F539" s="12"/>
      <c r="G539" s="46">
        <v>195</v>
      </c>
      <c r="H539" s="46"/>
      <c r="I539" s="41">
        <f>G539*B539</f>
        <v>195</v>
      </c>
    </row>
    <row r="540" spans="1:9" s="2" customFormat="1" ht="12">
      <c r="A540" s="11"/>
    </row>
    <row r="541" spans="1:9" s="2" customFormat="1" ht="12">
      <c r="A541" s="49" t="s">
        <v>205</v>
      </c>
      <c r="B541" s="49"/>
      <c r="C541" s="49"/>
      <c r="D541" s="49"/>
      <c r="E541" s="49"/>
      <c r="F541" s="49"/>
      <c r="G541" s="49"/>
      <c r="H541" s="49"/>
      <c r="I541" s="51">
        <f>SUM(I544:I553)</f>
        <v>1905</v>
      </c>
    </row>
    <row r="542" spans="1:9" s="2" customFormat="1" ht="12">
      <c r="A542" s="50"/>
      <c r="B542" s="50"/>
      <c r="C542" s="50"/>
      <c r="D542" s="50"/>
      <c r="E542" s="50"/>
      <c r="F542" s="50"/>
      <c r="G542" s="50"/>
      <c r="H542" s="50"/>
      <c r="I542" s="52"/>
    </row>
    <row r="543" spans="1:9" s="2" customFormat="1" ht="12">
      <c r="A543" s="44"/>
      <c r="B543" s="44"/>
      <c r="C543" s="44"/>
      <c r="D543" s="44"/>
      <c r="E543" s="44"/>
      <c r="F543" s="44"/>
      <c r="G543" s="44"/>
      <c r="H543" s="44"/>
      <c r="I543" s="45"/>
    </row>
    <row r="544" spans="1:9" s="2" customFormat="1" ht="12">
      <c r="A544" s="2" t="s">
        <v>38</v>
      </c>
      <c r="B544" s="40">
        <v>2</v>
      </c>
      <c r="C544" s="2" t="s">
        <v>128</v>
      </c>
      <c r="G544" s="18">
        <v>120</v>
      </c>
      <c r="H544" s="5"/>
      <c r="I544" s="41">
        <f t="shared" ref="I544:I551" si="30">G544*B544</f>
        <v>240</v>
      </c>
    </row>
    <row r="545" spans="1:9" s="2" customFormat="1" ht="12">
      <c r="A545" s="2" t="s">
        <v>39</v>
      </c>
      <c r="B545" s="40">
        <v>2</v>
      </c>
      <c r="C545" s="2" t="s">
        <v>129</v>
      </c>
      <c r="G545" s="18">
        <v>58</v>
      </c>
      <c r="H545" s="5"/>
      <c r="I545" s="41">
        <f t="shared" si="30"/>
        <v>116</v>
      </c>
    </row>
    <row r="546" spans="1:9" s="2" customFormat="1" ht="12">
      <c r="A546" s="2" t="s">
        <v>40</v>
      </c>
      <c r="B546" s="40">
        <v>2</v>
      </c>
      <c r="C546" s="2" t="s">
        <v>86</v>
      </c>
      <c r="G546" s="18">
        <v>245</v>
      </c>
      <c r="H546" s="5"/>
      <c r="I546" s="41">
        <f t="shared" si="30"/>
        <v>490</v>
      </c>
    </row>
    <row r="547" spans="1:9" s="2" customFormat="1" ht="12">
      <c r="A547" s="2" t="s">
        <v>41</v>
      </c>
      <c r="B547" s="10">
        <v>3</v>
      </c>
      <c r="C547" s="20" t="s">
        <v>185</v>
      </c>
      <c r="D547" s="12"/>
      <c r="E547" s="29"/>
      <c r="F547" s="12"/>
      <c r="G547" s="46">
        <v>68</v>
      </c>
      <c r="H547" s="46"/>
      <c r="I547" s="41">
        <f t="shared" si="30"/>
        <v>204</v>
      </c>
    </row>
    <row r="548" spans="1:9" s="2" customFormat="1" ht="12">
      <c r="A548" s="11" t="s">
        <v>42</v>
      </c>
      <c r="B548" s="10">
        <v>2</v>
      </c>
      <c r="C548" s="2" t="s">
        <v>215</v>
      </c>
      <c r="D548" s="12"/>
      <c r="E548" s="29"/>
      <c r="F548" s="12"/>
      <c r="G548" s="46">
        <v>210</v>
      </c>
      <c r="H548" s="46"/>
      <c r="I548" s="41">
        <f t="shared" si="30"/>
        <v>420</v>
      </c>
    </row>
    <row r="549" spans="1:9" s="2" customFormat="1" ht="12">
      <c r="A549" s="11" t="s">
        <v>48</v>
      </c>
      <c r="B549" s="10">
        <v>1</v>
      </c>
      <c r="C549" s="20" t="s">
        <v>87</v>
      </c>
      <c r="D549" s="12"/>
      <c r="E549" s="29"/>
      <c r="F549" s="12"/>
      <c r="G549" s="46">
        <v>48</v>
      </c>
      <c r="H549" s="46"/>
      <c r="I549" s="41">
        <f t="shared" si="30"/>
        <v>48</v>
      </c>
    </row>
    <row r="550" spans="1:9" s="2" customFormat="1" ht="12">
      <c r="A550" s="11" t="s">
        <v>49</v>
      </c>
      <c r="B550" s="10">
        <v>2</v>
      </c>
      <c r="C550" s="20" t="s">
        <v>130</v>
      </c>
      <c r="D550" s="12"/>
      <c r="E550" s="29"/>
      <c r="F550" s="12"/>
      <c r="G550" s="46">
        <v>48</v>
      </c>
      <c r="H550" s="46"/>
      <c r="I550" s="41">
        <f t="shared" si="30"/>
        <v>96</v>
      </c>
    </row>
    <row r="551" spans="1:9" s="2" customFormat="1" ht="12">
      <c r="A551" s="11" t="s">
        <v>50</v>
      </c>
      <c r="B551" s="12">
        <v>1</v>
      </c>
      <c r="C551" s="2" t="s">
        <v>133</v>
      </c>
      <c r="G551" s="18">
        <v>48</v>
      </c>
      <c r="H551" s="18"/>
      <c r="I551" s="18">
        <f t="shared" si="30"/>
        <v>48</v>
      </c>
    </row>
    <row r="552" spans="1:9" s="2" customFormat="1" ht="12">
      <c r="A552" s="11" t="s">
        <v>51</v>
      </c>
      <c r="B552" s="10">
        <v>1</v>
      </c>
      <c r="C552" s="20" t="s">
        <v>115</v>
      </c>
      <c r="D552" s="12"/>
      <c r="E552" s="29"/>
      <c r="F552" s="12"/>
      <c r="G552" s="46">
        <v>48</v>
      </c>
      <c r="H552" s="46"/>
      <c r="I552" s="41">
        <f>G552*B552</f>
        <v>48</v>
      </c>
    </row>
    <row r="553" spans="1:9" s="2" customFormat="1" ht="12">
      <c r="A553" s="11" t="s">
        <v>52</v>
      </c>
      <c r="B553" s="10">
        <v>1</v>
      </c>
      <c r="C553" s="20" t="s">
        <v>131</v>
      </c>
      <c r="D553" s="12"/>
      <c r="E553" s="29"/>
      <c r="F553" s="12"/>
      <c r="G553" s="46">
        <v>195</v>
      </c>
      <c r="H553" s="46"/>
      <c r="I553" s="41">
        <f>G553*B553</f>
        <v>195</v>
      </c>
    </row>
    <row r="554" spans="1:9" s="2" customFormat="1" ht="12">
      <c r="A554" s="11"/>
      <c r="B554" s="10"/>
      <c r="C554" s="20"/>
      <c r="D554" s="12"/>
      <c r="E554" s="29"/>
      <c r="F554" s="12"/>
      <c r="G554" s="46"/>
      <c r="H554" s="46"/>
      <c r="I554" s="41"/>
    </row>
    <row r="555" spans="1:9" s="2" customFormat="1" ht="12">
      <c r="A555" s="49" t="s">
        <v>206</v>
      </c>
      <c r="B555" s="49"/>
      <c r="C555" s="49"/>
      <c r="D555" s="49"/>
      <c r="E555" s="49"/>
      <c r="F555" s="49"/>
      <c r="G555" s="49"/>
      <c r="H555" s="49"/>
      <c r="I555" s="51">
        <f>SUM(I558:I567)</f>
        <v>1905</v>
      </c>
    </row>
    <row r="556" spans="1:9" s="2" customFormat="1" ht="12">
      <c r="A556" s="50"/>
      <c r="B556" s="50"/>
      <c r="C556" s="50"/>
      <c r="D556" s="50"/>
      <c r="E556" s="50"/>
      <c r="F556" s="50"/>
      <c r="G556" s="50"/>
      <c r="H556" s="50"/>
      <c r="I556" s="52"/>
    </row>
    <row r="557" spans="1:9" s="2" customFormat="1" ht="12">
      <c r="A557" s="44"/>
      <c r="B557" s="44"/>
      <c r="C557" s="44"/>
      <c r="D557" s="44"/>
      <c r="E557" s="44"/>
      <c r="F557" s="44"/>
      <c r="G557" s="44"/>
      <c r="H557" s="44"/>
      <c r="I557" s="45"/>
    </row>
    <row r="558" spans="1:9" s="2" customFormat="1" ht="12">
      <c r="A558" s="2" t="s">
        <v>38</v>
      </c>
      <c r="B558" s="40">
        <v>2</v>
      </c>
      <c r="C558" s="2" t="s">
        <v>128</v>
      </c>
      <c r="G558" s="18">
        <v>120</v>
      </c>
      <c r="H558" s="5"/>
      <c r="I558" s="41">
        <f t="shared" ref="I558:I565" si="31">G558*B558</f>
        <v>240</v>
      </c>
    </row>
    <row r="559" spans="1:9" s="2" customFormat="1" ht="12">
      <c r="A559" s="2" t="s">
        <v>39</v>
      </c>
      <c r="B559" s="40">
        <v>2</v>
      </c>
      <c r="C559" s="2" t="s">
        <v>129</v>
      </c>
      <c r="G559" s="18">
        <v>58</v>
      </c>
      <c r="H559" s="5"/>
      <c r="I559" s="41">
        <f t="shared" si="31"/>
        <v>116</v>
      </c>
    </row>
    <row r="560" spans="1:9" s="2" customFormat="1" ht="12">
      <c r="A560" s="2" t="s">
        <v>40</v>
      </c>
      <c r="B560" s="40">
        <v>2</v>
      </c>
      <c r="C560" s="2" t="s">
        <v>86</v>
      </c>
      <c r="G560" s="18">
        <v>245</v>
      </c>
      <c r="H560" s="5"/>
      <c r="I560" s="41">
        <f t="shared" si="31"/>
        <v>490</v>
      </c>
    </row>
    <row r="561" spans="1:9" s="2" customFormat="1" ht="12">
      <c r="A561" s="2" t="s">
        <v>41</v>
      </c>
      <c r="B561" s="10">
        <v>3</v>
      </c>
      <c r="C561" s="20" t="s">
        <v>185</v>
      </c>
      <c r="D561" s="12"/>
      <c r="E561" s="29"/>
      <c r="F561" s="12"/>
      <c r="G561" s="46">
        <v>68</v>
      </c>
      <c r="H561" s="46"/>
      <c r="I561" s="41">
        <f t="shared" si="31"/>
        <v>204</v>
      </c>
    </row>
    <row r="562" spans="1:9" s="2" customFormat="1" ht="12">
      <c r="A562" s="11" t="s">
        <v>42</v>
      </c>
      <c r="B562" s="10">
        <v>2</v>
      </c>
      <c r="C562" s="2" t="s">
        <v>215</v>
      </c>
      <c r="D562" s="12"/>
      <c r="E562" s="29"/>
      <c r="F562" s="12"/>
      <c r="G562" s="46">
        <v>210</v>
      </c>
      <c r="H562" s="46"/>
      <c r="I562" s="41">
        <f t="shared" si="31"/>
        <v>420</v>
      </c>
    </row>
    <row r="563" spans="1:9" s="2" customFormat="1" ht="12">
      <c r="A563" s="11" t="s">
        <v>48</v>
      </c>
      <c r="B563" s="10">
        <v>1</v>
      </c>
      <c r="C563" s="20" t="s">
        <v>87</v>
      </c>
      <c r="D563" s="12"/>
      <c r="E563" s="29"/>
      <c r="F563" s="12"/>
      <c r="G563" s="46">
        <v>48</v>
      </c>
      <c r="H563" s="46"/>
      <c r="I563" s="41">
        <f t="shared" si="31"/>
        <v>48</v>
      </c>
    </row>
    <row r="564" spans="1:9" s="2" customFormat="1" ht="12">
      <c r="A564" s="11" t="s">
        <v>49</v>
      </c>
      <c r="B564" s="10">
        <v>2</v>
      </c>
      <c r="C564" s="20" t="s">
        <v>130</v>
      </c>
      <c r="D564" s="12"/>
      <c r="E564" s="29"/>
      <c r="F564" s="12"/>
      <c r="G564" s="46">
        <v>48</v>
      </c>
      <c r="H564" s="46"/>
      <c r="I564" s="41">
        <f t="shared" si="31"/>
        <v>96</v>
      </c>
    </row>
    <row r="565" spans="1:9" s="2" customFormat="1" ht="12">
      <c r="A565" s="11" t="s">
        <v>50</v>
      </c>
      <c r="B565" s="12">
        <v>1</v>
      </c>
      <c r="C565" s="2" t="s">
        <v>133</v>
      </c>
      <c r="G565" s="18">
        <v>48</v>
      </c>
      <c r="H565" s="18"/>
      <c r="I565" s="18">
        <f t="shared" si="31"/>
        <v>48</v>
      </c>
    </row>
    <row r="566" spans="1:9" s="2" customFormat="1" ht="12">
      <c r="A566" s="11" t="s">
        <v>51</v>
      </c>
      <c r="B566" s="10">
        <v>1</v>
      </c>
      <c r="C566" s="20" t="s">
        <v>115</v>
      </c>
      <c r="D566" s="12"/>
      <c r="E566" s="29"/>
      <c r="F566" s="12"/>
      <c r="G566" s="46">
        <v>48</v>
      </c>
      <c r="H566" s="46"/>
      <c r="I566" s="41">
        <f>G566*B566</f>
        <v>48</v>
      </c>
    </row>
    <row r="567" spans="1:9" s="2" customFormat="1" ht="12">
      <c r="A567" s="11" t="s">
        <v>52</v>
      </c>
      <c r="B567" s="10">
        <v>1</v>
      </c>
      <c r="C567" s="20" t="s">
        <v>131</v>
      </c>
      <c r="D567" s="12"/>
      <c r="E567" s="29"/>
      <c r="F567" s="12"/>
      <c r="G567" s="46">
        <v>195</v>
      </c>
      <c r="H567" s="46"/>
      <c r="I567" s="41">
        <f>G567*B567</f>
        <v>195</v>
      </c>
    </row>
    <row r="568" spans="1:9" s="2" customFormat="1" ht="12">
      <c r="A568" s="11"/>
      <c r="B568" s="10"/>
      <c r="C568" s="20"/>
      <c r="D568" s="12"/>
      <c r="E568" s="29"/>
      <c r="F568" s="12"/>
      <c r="G568" s="46"/>
      <c r="H568" s="46"/>
      <c r="I568" s="41"/>
    </row>
    <row r="569" spans="1:9" s="2" customFormat="1" ht="12">
      <c r="A569" s="49" t="s">
        <v>207</v>
      </c>
      <c r="B569" s="49"/>
      <c r="C569" s="49"/>
      <c r="D569" s="49"/>
      <c r="E569" s="49"/>
      <c r="F569" s="49"/>
      <c r="G569" s="49"/>
      <c r="H569" s="49"/>
      <c r="I569" s="51">
        <f>SUM(I572:I583)</f>
        <v>2313</v>
      </c>
    </row>
    <row r="570" spans="1:9" s="2" customFormat="1" ht="12">
      <c r="A570" s="50"/>
      <c r="B570" s="50"/>
      <c r="C570" s="50"/>
      <c r="D570" s="50"/>
      <c r="E570" s="50"/>
      <c r="F570" s="50"/>
      <c r="G570" s="50"/>
      <c r="H570" s="50"/>
      <c r="I570" s="52"/>
    </row>
    <row r="571" spans="1:9" s="2" customFormat="1" ht="12">
      <c r="A571" s="44"/>
      <c r="B571" s="44"/>
      <c r="C571" s="44"/>
      <c r="D571" s="44"/>
      <c r="E571" s="44"/>
      <c r="F571" s="44"/>
      <c r="G571" s="44"/>
      <c r="H571" s="44"/>
      <c r="I571" s="45"/>
    </row>
    <row r="572" spans="1:9" s="2" customFormat="1" ht="12">
      <c r="A572" s="2" t="s">
        <v>38</v>
      </c>
      <c r="B572" s="40">
        <v>6</v>
      </c>
      <c r="C572" s="43" t="s">
        <v>188</v>
      </c>
      <c r="G572" s="18">
        <v>68</v>
      </c>
      <c r="H572" s="5"/>
      <c r="I572" s="41">
        <f>G572*B572</f>
        <v>408</v>
      </c>
    </row>
    <row r="573" spans="1:9" s="2" customFormat="1" ht="12">
      <c r="B573" s="40"/>
      <c r="C573" s="43" t="s">
        <v>189</v>
      </c>
      <c r="G573" s="18"/>
      <c r="H573" s="5"/>
      <c r="I573" s="41"/>
    </row>
    <row r="574" spans="1:9" s="2" customFormat="1" ht="12">
      <c r="A574" s="2" t="s">
        <v>39</v>
      </c>
      <c r="B574" s="40">
        <v>2</v>
      </c>
      <c r="C574" s="2" t="s">
        <v>128</v>
      </c>
      <c r="G574" s="18">
        <v>120</v>
      </c>
      <c r="H574" s="5"/>
      <c r="I574" s="41">
        <f t="shared" ref="I574:I581" si="32">G574*B574</f>
        <v>240</v>
      </c>
    </row>
    <row r="575" spans="1:9" s="2" customFormat="1" ht="12">
      <c r="A575" s="2" t="s">
        <v>40</v>
      </c>
      <c r="B575" s="40">
        <v>2</v>
      </c>
      <c r="C575" s="2" t="s">
        <v>129</v>
      </c>
      <c r="G575" s="18">
        <v>58</v>
      </c>
      <c r="H575" s="5"/>
      <c r="I575" s="41">
        <f t="shared" si="32"/>
        <v>116</v>
      </c>
    </row>
    <row r="576" spans="1:9" s="2" customFormat="1" ht="12">
      <c r="A576" s="2" t="s">
        <v>41</v>
      </c>
      <c r="B576" s="40">
        <v>2</v>
      </c>
      <c r="C576" s="2" t="s">
        <v>86</v>
      </c>
      <c r="G576" s="18">
        <v>245</v>
      </c>
      <c r="H576" s="5"/>
      <c r="I576" s="41">
        <f t="shared" si="32"/>
        <v>490</v>
      </c>
    </row>
    <row r="577" spans="1:9" s="2" customFormat="1" ht="12">
      <c r="A577" s="11" t="s">
        <v>42</v>
      </c>
      <c r="B577" s="10">
        <v>3</v>
      </c>
      <c r="C577" s="20" t="s">
        <v>185</v>
      </c>
      <c r="D577" s="12"/>
      <c r="E577" s="29"/>
      <c r="F577" s="12"/>
      <c r="G577" s="46">
        <v>68</v>
      </c>
      <c r="H577" s="46"/>
      <c r="I577" s="41">
        <f t="shared" si="32"/>
        <v>204</v>
      </c>
    </row>
    <row r="578" spans="1:9" s="2" customFormat="1" ht="12">
      <c r="A578" s="11" t="s">
        <v>48</v>
      </c>
      <c r="B578" s="10">
        <v>2</v>
      </c>
      <c r="C578" s="2" t="s">
        <v>215</v>
      </c>
      <c r="D578" s="12"/>
      <c r="E578" s="29"/>
      <c r="F578" s="12"/>
      <c r="G578" s="46">
        <v>210</v>
      </c>
      <c r="H578" s="46"/>
      <c r="I578" s="41">
        <f t="shared" si="32"/>
        <v>420</v>
      </c>
    </row>
    <row r="579" spans="1:9" s="2" customFormat="1" ht="12">
      <c r="A579" s="11" t="s">
        <v>49</v>
      </c>
      <c r="B579" s="10">
        <v>1</v>
      </c>
      <c r="C579" s="20" t="s">
        <v>87</v>
      </c>
      <c r="D579" s="12"/>
      <c r="E579" s="29"/>
      <c r="F579" s="12"/>
      <c r="G579" s="46">
        <v>48</v>
      </c>
      <c r="H579" s="46"/>
      <c r="I579" s="41">
        <f t="shared" si="32"/>
        <v>48</v>
      </c>
    </row>
    <row r="580" spans="1:9" s="2" customFormat="1" ht="12">
      <c r="A580" s="11" t="s">
        <v>50</v>
      </c>
      <c r="B580" s="10">
        <v>2</v>
      </c>
      <c r="C580" s="20" t="s">
        <v>130</v>
      </c>
      <c r="D580" s="12"/>
      <c r="E580" s="29"/>
      <c r="F580" s="12"/>
      <c r="G580" s="46">
        <v>48</v>
      </c>
      <c r="H580" s="46"/>
      <c r="I580" s="41">
        <f t="shared" si="32"/>
        <v>96</v>
      </c>
    </row>
    <row r="581" spans="1:9" s="2" customFormat="1" ht="12">
      <c r="A581" s="11" t="s">
        <v>51</v>
      </c>
      <c r="B581" s="12">
        <v>1</v>
      </c>
      <c r="C581" s="2" t="s">
        <v>133</v>
      </c>
      <c r="G581" s="18">
        <v>48</v>
      </c>
      <c r="H581" s="18"/>
      <c r="I581" s="18">
        <f t="shared" si="32"/>
        <v>48</v>
      </c>
    </row>
    <row r="582" spans="1:9" s="2" customFormat="1" ht="12">
      <c r="A582" s="11" t="s">
        <v>52</v>
      </c>
      <c r="B582" s="10">
        <v>1</v>
      </c>
      <c r="C582" s="20" t="s">
        <v>115</v>
      </c>
      <c r="D582" s="12"/>
      <c r="E582" s="29"/>
      <c r="F582" s="12"/>
      <c r="G582" s="46">
        <v>48</v>
      </c>
      <c r="H582" s="46"/>
      <c r="I582" s="41">
        <f>G582*B582</f>
        <v>48</v>
      </c>
    </row>
    <row r="583" spans="1:9" s="2" customFormat="1" ht="12">
      <c r="A583" s="11" t="s">
        <v>53</v>
      </c>
      <c r="B583" s="10">
        <v>1</v>
      </c>
      <c r="C583" s="20" t="s">
        <v>131</v>
      </c>
      <c r="D583" s="12"/>
      <c r="E583" s="29"/>
      <c r="F583" s="12"/>
      <c r="G583" s="46">
        <v>195</v>
      </c>
      <c r="H583" s="46"/>
      <c r="I583" s="41">
        <f>G583*B583</f>
        <v>195</v>
      </c>
    </row>
    <row r="584" spans="1:9" s="2" customFormat="1" ht="12">
      <c r="A584" s="11" t="s">
        <v>33</v>
      </c>
      <c r="B584" s="10"/>
      <c r="C584" s="20"/>
      <c r="D584" s="12"/>
      <c r="E584" s="29" t="s">
        <v>34</v>
      </c>
      <c r="F584" s="12" t="str">
        <f>D7</f>
        <v>2211AM01S</v>
      </c>
      <c r="G584" s="53" t="str">
        <f>D11</f>
        <v>AM FAIRMOUNT</v>
      </c>
      <c r="H584" s="53"/>
      <c r="I584" s="35" t="s">
        <v>140</v>
      </c>
    </row>
    <row r="586" spans="1:9" s="2" customFormat="1" ht="12">
      <c r="A586" s="49" t="s">
        <v>208</v>
      </c>
      <c r="B586" s="49"/>
      <c r="C586" s="49"/>
      <c r="D586" s="49"/>
      <c r="E586" s="49"/>
      <c r="F586" s="49"/>
      <c r="G586" s="49"/>
      <c r="H586" s="49"/>
      <c r="I586" s="51">
        <f>SUM(I589:I607)</f>
        <v>3371</v>
      </c>
    </row>
    <row r="587" spans="1:9" s="2" customFormat="1" ht="12">
      <c r="A587" s="50"/>
      <c r="B587" s="50"/>
      <c r="C587" s="50"/>
      <c r="D587" s="50"/>
      <c r="E587" s="50"/>
      <c r="F587" s="50"/>
      <c r="G587" s="50"/>
      <c r="H587" s="50"/>
      <c r="I587" s="52"/>
    </row>
    <row r="588" spans="1:9" s="2" customFormat="1" ht="12">
      <c r="A588" s="44"/>
      <c r="B588" s="44"/>
      <c r="C588" s="44"/>
      <c r="D588" s="44"/>
      <c r="E588" s="44"/>
      <c r="F588" s="44"/>
      <c r="G588" s="44"/>
      <c r="H588" s="44"/>
      <c r="I588" s="45"/>
    </row>
    <row r="589" spans="1:9" s="2" customFormat="1" ht="12">
      <c r="A589" s="2" t="s">
        <v>38</v>
      </c>
      <c r="B589" s="40">
        <v>2</v>
      </c>
      <c r="C589" s="43" t="s">
        <v>188</v>
      </c>
      <c r="G589" s="18">
        <v>68</v>
      </c>
      <c r="H589" s="5"/>
      <c r="I589" s="41">
        <f t="shared" ref="I589:I607" si="33">G589*B589</f>
        <v>136</v>
      </c>
    </row>
    <row r="590" spans="1:9" s="2" customFormat="1" ht="12">
      <c r="B590" s="40"/>
      <c r="C590" s="43" t="s">
        <v>189</v>
      </c>
      <c r="G590" s="18"/>
      <c r="H590" s="5"/>
      <c r="I590" s="41"/>
    </row>
    <row r="591" spans="1:9" s="2" customFormat="1" ht="12">
      <c r="A591" s="2" t="s">
        <v>39</v>
      </c>
      <c r="B591" s="40">
        <v>2</v>
      </c>
      <c r="C591" s="2" t="s">
        <v>129</v>
      </c>
      <c r="G591" s="18">
        <v>58</v>
      </c>
      <c r="H591" s="5"/>
      <c r="I591" s="41">
        <f t="shared" si="33"/>
        <v>116</v>
      </c>
    </row>
    <row r="592" spans="1:9" s="2" customFormat="1" ht="12">
      <c r="A592" s="2" t="s">
        <v>40</v>
      </c>
      <c r="B592" s="40">
        <v>2</v>
      </c>
      <c r="C592" s="2" t="s">
        <v>86</v>
      </c>
      <c r="G592" s="18">
        <v>245</v>
      </c>
      <c r="H592" s="5"/>
      <c r="I592" s="41">
        <f t="shared" si="33"/>
        <v>490</v>
      </c>
    </row>
    <row r="593" spans="1:9" s="2" customFormat="1" ht="12">
      <c r="A593" s="2" t="s">
        <v>41</v>
      </c>
      <c r="B593" s="10">
        <v>4</v>
      </c>
      <c r="C593" s="20" t="s">
        <v>186</v>
      </c>
      <c r="D593" s="12"/>
      <c r="E593" s="29"/>
      <c r="F593" s="12"/>
      <c r="G593" s="46">
        <v>68</v>
      </c>
      <c r="H593" s="46"/>
      <c r="I593" s="41">
        <f t="shared" si="33"/>
        <v>272</v>
      </c>
    </row>
    <row r="594" spans="1:9" s="2" customFormat="1" ht="12">
      <c r="A594" s="11" t="s">
        <v>42</v>
      </c>
      <c r="B594" s="10">
        <v>1</v>
      </c>
      <c r="C594" s="20" t="s">
        <v>141</v>
      </c>
      <c r="D594" s="12"/>
      <c r="E594" s="29"/>
      <c r="F594" s="12"/>
      <c r="G594" s="46">
        <v>48</v>
      </c>
      <c r="H594" s="46"/>
      <c r="I594" s="41">
        <f t="shared" si="33"/>
        <v>48</v>
      </c>
    </row>
    <row r="595" spans="1:9" s="2" customFormat="1" ht="12">
      <c r="A595" s="11" t="s">
        <v>48</v>
      </c>
      <c r="B595" s="10">
        <v>2</v>
      </c>
      <c r="C595" s="2" t="s">
        <v>215</v>
      </c>
      <c r="D595" s="12"/>
      <c r="E595" s="29"/>
      <c r="F595" s="12"/>
      <c r="G595" s="46">
        <v>210</v>
      </c>
      <c r="H595" s="46"/>
      <c r="I595" s="41">
        <f t="shared" si="33"/>
        <v>420</v>
      </c>
    </row>
    <row r="596" spans="1:9" s="2" customFormat="1" ht="12">
      <c r="A596" s="11" t="s">
        <v>49</v>
      </c>
      <c r="B596" s="10">
        <v>1</v>
      </c>
      <c r="C596" s="20" t="s">
        <v>87</v>
      </c>
      <c r="D596" s="12"/>
      <c r="E596" s="29"/>
      <c r="F596" s="12"/>
      <c r="G596" s="46">
        <v>48</v>
      </c>
      <c r="H596" s="46"/>
      <c r="I596" s="41">
        <f t="shared" si="33"/>
        <v>48</v>
      </c>
    </row>
    <row r="597" spans="1:9" s="2" customFormat="1" ht="12">
      <c r="A597" s="11" t="s">
        <v>50</v>
      </c>
      <c r="B597" s="12">
        <v>1</v>
      </c>
      <c r="C597" s="2" t="s">
        <v>133</v>
      </c>
      <c r="G597" s="18">
        <v>48</v>
      </c>
      <c r="H597" s="18"/>
      <c r="I597" s="18">
        <f t="shared" si="33"/>
        <v>48</v>
      </c>
    </row>
    <row r="598" spans="1:9" s="2" customFormat="1" ht="12">
      <c r="A598" s="11" t="s">
        <v>51</v>
      </c>
      <c r="B598" s="12">
        <v>1</v>
      </c>
      <c r="C598" s="2" t="s">
        <v>147</v>
      </c>
      <c r="G598" s="18">
        <v>48</v>
      </c>
      <c r="H598" s="18"/>
      <c r="I598" s="18">
        <f t="shared" si="33"/>
        <v>48</v>
      </c>
    </row>
    <row r="599" spans="1:9" s="2" customFormat="1" ht="12">
      <c r="A599" s="11" t="s">
        <v>52</v>
      </c>
      <c r="B599" s="12">
        <v>3</v>
      </c>
      <c r="C599" s="2" t="s">
        <v>142</v>
      </c>
      <c r="G599" s="18">
        <v>48</v>
      </c>
      <c r="H599" s="18"/>
      <c r="I599" s="18">
        <f t="shared" si="33"/>
        <v>144</v>
      </c>
    </row>
    <row r="600" spans="1:9" s="2" customFormat="1" ht="12">
      <c r="A600" s="11" t="s">
        <v>53</v>
      </c>
      <c r="B600" s="12">
        <v>2</v>
      </c>
      <c r="C600" s="2" t="s">
        <v>148</v>
      </c>
      <c r="G600" s="18">
        <v>98</v>
      </c>
      <c r="H600" s="18"/>
      <c r="I600" s="18">
        <f t="shared" si="33"/>
        <v>196</v>
      </c>
    </row>
    <row r="601" spans="1:9" s="2" customFormat="1" ht="12">
      <c r="A601" s="11" t="s">
        <v>54</v>
      </c>
      <c r="B601" s="12">
        <v>1</v>
      </c>
      <c r="C601" s="2" t="s">
        <v>78</v>
      </c>
      <c r="G601" s="18">
        <v>88</v>
      </c>
      <c r="H601" s="18"/>
      <c r="I601" s="18">
        <f t="shared" si="33"/>
        <v>88</v>
      </c>
    </row>
    <row r="602" spans="1:9" s="2" customFormat="1" ht="12">
      <c r="A602" s="11" t="s">
        <v>55</v>
      </c>
      <c r="B602" s="12">
        <v>1</v>
      </c>
      <c r="C602" s="2" t="s">
        <v>79</v>
      </c>
      <c r="G602" s="18">
        <v>435</v>
      </c>
      <c r="H602" s="18"/>
      <c r="I602" s="18">
        <f t="shared" si="33"/>
        <v>435</v>
      </c>
    </row>
    <row r="603" spans="1:9" s="2" customFormat="1" ht="12">
      <c r="A603" s="11" t="s">
        <v>56</v>
      </c>
      <c r="B603" s="12">
        <v>1</v>
      </c>
      <c r="C603" s="2" t="s">
        <v>149</v>
      </c>
      <c r="G603" s="18">
        <v>88</v>
      </c>
      <c r="H603" s="18"/>
      <c r="I603" s="18">
        <f t="shared" si="33"/>
        <v>88</v>
      </c>
    </row>
    <row r="604" spans="1:9" s="2" customFormat="1" ht="12">
      <c r="A604" s="11" t="s">
        <v>62</v>
      </c>
      <c r="B604" s="12">
        <v>1</v>
      </c>
      <c r="C604" s="2" t="s">
        <v>150</v>
      </c>
      <c r="G604" s="18">
        <v>435</v>
      </c>
      <c r="H604" s="18"/>
      <c r="I604" s="18">
        <f t="shared" si="33"/>
        <v>435</v>
      </c>
    </row>
    <row r="605" spans="1:9" s="2" customFormat="1" ht="12">
      <c r="A605" s="11" t="s">
        <v>63</v>
      </c>
      <c r="B605" s="12">
        <v>2</v>
      </c>
      <c r="C605" s="2" t="s">
        <v>151</v>
      </c>
      <c r="G605" s="18">
        <v>58</v>
      </c>
      <c r="H605" s="18"/>
      <c r="I605" s="18">
        <f t="shared" si="33"/>
        <v>116</v>
      </c>
    </row>
    <row r="606" spans="1:9" s="2" customFormat="1" ht="12">
      <c r="A606" s="2" t="s">
        <v>64</v>
      </c>
      <c r="B606" s="10">
        <v>1</v>
      </c>
      <c r="C606" s="20" t="s">
        <v>115</v>
      </c>
      <c r="D606" s="12"/>
      <c r="E606" s="29"/>
      <c r="F606" s="12"/>
      <c r="G606" s="46">
        <v>48</v>
      </c>
      <c r="H606" s="46"/>
      <c r="I606" s="41">
        <f t="shared" si="33"/>
        <v>48</v>
      </c>
    </row>
    <row r="607" spans="1:9" s="2" customFormat="1" ht="12">
      <c r="A607" s="2" t="s">
        <v>65</v>
      </c>
      <c r="B607" s="10">
        <v>1</v>
      </c>
      <c r="C607" s="20" t="s">
        <v>131</v>
      </c>
      <c r="D607" s="12"/>
      <c r="E607" s="29"/>
      <c r="F607" s="12"/>
      <c r="G607" s="46">
        <v>195</v>
      </c>
      <c r="H607" s="46"/>
      <c r="I607" s="41">
        <f t="shared" si="33"/>
        <v>195</v>
      </c>
    </row>
    <row r="608" spans="1:9" s="2" customFormat="1" ht="12">
      <c r="A608" s="11"/>
      <c r="B608" s="10"/>
      <c r="C608" s="20"/>
      <c r="D608" s="12"/>
      <c r="E608" s="29"/>
      <c r="F608" s="12"/>
      <c r="G608" s="46"/>
      <c r="H608" s="46"/>
      <c r="I608" s="41"/>
    </row>
    <row r="609" spans="1:9" s="2" customFormat="1" ht="12">
      <c r="A609" s="49" t="s">
        <v>209</v>
      </c>
      <c r="B609" s="49"/>
      <c r="C609" s="49"/>
      <c r="D609" s="49"/>
      <c r="E609" s="49"/>
      <c r="F609" s="49"/>
      <c r="G609" s="49"/>
      <c r="H609" s="49"/>
      <c r="I609" s="51">
        <f>SUM(I612:I622)</f>
        <v>3604</v>
      </c>
    </row>
    <row r="610" spans="1:9" s="2" customFormat="1" ht="12">
      <c r="A610" s="50"/>
      <c r="B610" s="50"/>
      <c r="C610" s="50"/>
      <c r="D610" s="50"/>
      <c r="E610" s="50"/>
      <c r="F610" s="50"/>
      <c r="G610" s="50"/>
      <c r="H610" s="50"/>
      <c r="I610" s="52"/>
    </row>
    <row r="611" spans="1:9" s="2" customFormat="1" ht="12">
      <c r="B611" s="17"/>
      <c r="G611" s="5"/>
      <c r="H611" s="5"/>
    </row>
    <row r="612" spans="1:9" s="2" customFormat="1" ht="12">
      <c r="A612" s="2" t="s">
        <v>38</v>
      </c>
      <c r="B612" s="40">
        <v>1</v>
      </c>
      <c r="C612" s="2" t="s">
        <v>44</v>
      </c>
      <c r="G612" s="18">
        <v>695</v>
      </c>
      <c r="H612" s="5"/>
      <c r="I612" s="41">
        <f>G612*B612</f>
        <v>695</v>
      </c>
    </row>
    <row r="613" spans="1:9" s="2" customFormat="1" ht="12">
      <c r="A613" s="2" t="s">
        <v>39</v>
      </c>
      <c r="B613" s="40">
        <v>1</v>
      </c>
      <c r="C613" s="2" t="s">
        <v>45</v>
      </c>
      <c r="G613" s="18">
        <v>410</v>
      </c>
      <c r="H613" s="5"/>
      <c r="I613" s="41">
        <f t="shared" ref="I613:I617" si="34">G613*B613</f>
        <v>410</v>
      </c>
    </row>
    <row r="614" spans="1:9" s="2" customFormat="1" ht="12">
      <c r="A614" s="2" t="s">
        <v>40</v>
      </c>
      <c r="B614" s="40">
        <v>1</v>
      </c>
      <c r="C614" s="2" t="s">
        <v>46</v>
      </c>
      <c r="G614" s="18">
        <v>410</v>
      </c>
      <c r="H614" s="5"/>
      <c r="I614" s="41">
        <f t="shared" si="34"/>
        <v>410</v>
      </c>
    </row>
    <row r="615" spans="1:9" s="2" customFormat="1" ht="12">
      <c r="A615" s="2" t="s">
        <v>41</v>
      </c>
      <c r="B615" s="40">
        <v>1</v>
      </c>
      <c r="C615" s="42" t="s">
        <v>47</v>
      </c>
      <c r="G615" s="18">
        <v>155</v>
      </c>
      <c r="H615" s="5"/>
      <c r="I615" s="41">
        <f t="shared" si="34"/>
        <v>155</v>
      </c>
    </row>
    <row r="616" spans="1:9" s="2" customFormat="1" ht="12">
      <c r="A616" s="2" t="s">
        <v>42</v>
      </c>
      <c r="B616" s="40">
        <v>3</v>
      </c>
      <c r="C616" s="2" t="s">
        <v>210</v>
      </c>
      <c r="G616" s="18">
        <v>155</v>
      </c>
      <c r="H616" s="5"/>
      <c r="I616" s="41">
        <f t="shared" si="34"/>
        <v>465</v>
      </c>
    </row>
    <row r="617" spans="1:9" s="2" customFormat="1" ht="12">
      <c r="A617" s="2" t="s">
        <v>48</v>
      </c>
      <c r="B617" s="40">
        <v>1</v>
      </c>
      <c r="C617" s="2" t="s">
        <v>154</v>
      </c>
      <c r="G617" s="18">
        <v>385</v>
      </c>
      <c r="H617" s="5"/>
      <c r="I617" s="41">
        <f t="shared" si="34"/>
        <v>385</v>
      </c>
    </row>
    <row r="618" spans="1:9" s="2" customFormat="1" ht="12">
      <c r="A618" s="2" t="s">
        <v>49</v>
      </c>
      <c r="B618" s="40">
        <v>2</v>
      </c>
      <c r="C618" s="2" t="s">
        <v>143</v>
      </c>
      <c r="G618" s="18">
        <v>48</v>
      </c>
      <c r="H618" s="5"/>
      <c r="I618" s="41">
        <f>G618*B618</f>
        <v>96</v>
      </c>
    </row>
    <row r="619" spans="1:9" s="2" customFormat="1" ht="12">
      <c r="A619" s="2" t="s">
        <v>50</v>
      </c>
      <c r="B619" s="12">
        <v>1</v>
      </c>
      <c r="C619" s="2" t="s">
        <v>145</v>
      </c>
      <c r="G619" s="18">
        <v>235</v>
      </c>
      <c r="H619" s="5"/>
      <c r="I619" s="41">
        <f>G619*B619</f>
        <v>235</v>
      </c>
    </row>
    <row r="620" spans="1:9" s="2" customFormat="1" ht="12">
      <c r="A620" s="2" t="s">
        <v>51</v>
      </c>
      <c r="B620" s="40">
        <v>1</v>
      </c>
      <c r="C620" s="2" t="s">
        <v>144</v>
      </c>
      <c r="G620" s="18">
        <v>48</v>
      </c>
      <c r="H620" s="5"/>
      <c r="I620" s="41">
        <f>G620*B620</f>
        <v>48</v>
      </c>
    </row>
    <row r="621" spans="1:9" s="2" customFormat="1" ht="12">
      <c r="A621" s="2" t="s">
        <v>52</v>
      </c>
      <c r="B621" s="40">
        <v>1</v>
      </c>
      <c r="C621" s="2" t="s">
        <v>153</v>
      </c>
      <c r="G621" s="18">
        <v>595</v>
      </c>
      <c r="H621" s="5"/>
      <c r="I621" s="41">
        <f>G621*B621</f>
        <v>595</v>
      </c>
    </row>
    <row r="622" spans="1:9" s="2" customFormat="1" ht="12">
      <c r="A622" s="2" t="s">
        <v>53</v>
      </c>
      <c r="B622" s="40">
        <v>1</v>
      </c>
      <c r="C622" s="2" t="s">
        <v>60</v>
      </c>
      <c r="G622" s="18">
        <v>110</v>
      </c>
      <c r="H622" s="5"/>
      <c r="I622" s="41">
        <f>G622*B622</f>
        <v>110</v>
      </c>
    </row>
    <row r="623" spans="1:9" s="2" customFormat="1" ht="12">
      <c r="B623" s="40"/>
      <c r="G623" s="18"/>
      <c r="H623" s="5"/>
      <c r="I623" s="41"/>
    </row>
    <row r="624" spans="1:9" s="2" customFormat="1" ht="12">
      <c r="B624" s="40"/>
      <c r="G624" s="18"/>
      <c r="H624" s="5"/>
      <c r="I624" s="41"/>
    </row>
    <row r="625" spans="1:9" s="2" customFormat="1" ht="12">
      <c r="B625" s="40"/>
      <c r="G625" s="18"/>
      <c r="H625" s="5"/>
      <c r="I625" s="41"/>
    </row>
    <row r="626" spans="1:9" s="2" customFormat="1" ht="12">
      <c r="B626" s="40"/>
      <c r="G626" s="18"/>
      <c r="H626" s="5"/>
      <c r="I626" s="41"/>
    </row>
    <row r="627" spans="1:9" s="2" customFormat="1" ht="12">
      <c r="B627" s="40"/>
      <c r="G627" s="18"/>
      <c r="H627" s="5"/>
      <c r="I627" s="41"/>
    </row>
    <row r="628" spans="1:9" s="2" customFormat="1" ht="12">
      <c r="B628" s="40"/>
      <c r="G628" s="18"/>
      <c r="H628" s="5"/>
      <c r="I628" s="41"/>
    </row>
    <row r="629" spans="1:9" s="2" customFormat="1" ht="12">
      <c r="B629" s="40"/>
      <c r="G629" s="18"/>
      <c r="H629" s="5"/>
      <c r="I629" s="41"/>
    </row>
    <row r="631" spans="1:9" s="2" customFormat="1" ht="12">
      <c r="B631" s="40"/>
      <c r="G631" s="18"/>
      <c r="H631" s="5"/>
      <c r="I631" s="41"/>
    </row>
    <row r="632" spans="1:9" s="2" customFormat="1" ht="12">
      <c r="B632" s="40"/>
      <c r="G632" s="18"/>
      <c r="H632" s="5"/>
      <c r="I632" s="41"/>
    </row>
    <row r="633" spans="1:9" s="2" customFormat="1" ht="12">
      <c r="B633" s="40"/>
      <c r="G633" s="18"/>
      <c r="H633" s="5"/>
      <c r="I633" s="41"/>
    </row>
    <row r="634" spans="1:9" s="2" customFormat="1" ht="12">
      <c r="B634" s="40"/>
      <c r="G634" s="18"/>
      <c r="H634" s="5"/>
      <c r="I634" s="41"/>
    </row>
    <row r="635" spans="1:9" s="2" customFormat="1" ht="12">
      <c r="B635" s="40"/>
      <c r="G635" s="18"/>
      <c r="H635" s="5"/>
      <c r="I635" s="41"/>
    </row>
    <row r="636" spans="1:9" s="2" customFormat="1" ht="12">
      <c r="B636" s="40"/>
      <c r="G636" s="18"/>
      <c r="H636" s="5"/>
      <c r="I636" s="41"/>
    </row>
    <row r="637" spans="1:9" s="2" customFormat="1" ht="12">
      <c r="A637" s="11" t="s">
        <v>33</v>
      </c>
      <c r="B637" s="10"/>
      <c r="C637" s="20"/>
      <c r="D637" s="12"/>
      <c r="E637" s="29" t="s">
        <v>34</v>
      </c>
      <c r="F637" s="12" t="str">
        <f>D7</f>
        <v>2211AM01S</v>
      </c>
      <c r="G637" s="53" t="str">
        <f>D11</f>
        <v>AM FAIRMOUNT</v>
      </c>
      <c r="H637" s="53"/>
      <c r="I637" s="35" t="s">
        <v>152</v>
      </c>
    </row>
    <row r="638" spans="1:9" s="2" customFormat="1" ht="12">
      <c r="A638" s="10"/>
      <c r="B638" s="10"/>
      <c r="C638" s="10"/>
      <c r="D638" s="12"/>
      <c r="E638" s="12"/>
      <c r="F638" s="12"/>
      <c r="G638" s="10"/>
      <c r="H638" s="10"/>
      <c r="I638" s="12"/>
    </row>
    <row r="639" spans="1:9" s="2" customFormat="1" ht="12">
      <c r="B639" s="21" t="s">
        <v>4</v>
      </c>
      <c r="C639" s="21"/>
      <c r="D639" s="21"/>
      <c r="E639" s="21"/>
      <c r="F639" s="21"/>
      <c r="G639" s="21"/>
      <c r="H639" s="22">
        <f>I609+I586+I569+I555+I541+I522+I508+I494+I480+I464+I450+I436+I415+I401+I385+I364+I349+I335+I321+I303+I289+I275+I268+I257+I250+I243+I236+I229+I222+I206+I193+I182+I171+I155+I144+I133+I121+I109+I94+I81+I68+I39+I29+I12</f>
        <v>138297</v>
      </c>
      <c r="I639" s="18"/>
    </row>
    <row r="640" spans="1:9" s="2" customFormat="1" ht="12">
      <c r="B640" s="3" t="s">
        <v>211</v>
      </c>
      <c r="C640" s="3"/>
      <c r="D640" s="3"/>
      <c r="E640" s="3"/>
      <c r="F640" s="3"/>
      <c r="G640" s="3"/>
      <c r="H640" s="25">
        <v>11800</v>
      </c>
      <c r="I640" s="18"/>
    </row>
    <row r="641" spans="2:9" s="2" customFormat="1" ht="12">
      <c r="B641" s="23" t="s">
        <v>18</v>
      </c>
      <c r="C641" s="23"/>
      <c r="D641" s="23"/>
      <c r="E641" s="23"/>
      <c r="F641" s="23"/>
      <c r="G641" s="23"/>
      <c r="H641" s="24">
        <f>(H639+H640)*0.0825</f>
        <v>12383.002500000001</v>
      </c>
      <c r="I641" s="18"/>
    </row>
    <row r="642" spans="2:9" s="2" customFormat="1" ht="12">
      <c r="B642" s="3"/>
      <c r="C642" s="3"/>
      <c r="D642" s="3"/>
      <c r="E642" s="3"/>
      <c r="F642" s="3"/>
      <c r="G642" s="3"/>
      <c r="H642" s="25"/>
      <c r="I642" s="18"/>
    </row>
    <row r="643" spans="2:9" s="2" customFormat="1" ht="12" customHeight="1">
      <c r="B643" s="68" t="s">
        <v>0</v>
      </c>
      <c r="C643" s="68"/>
      <c r="D643" s="68"/>
      <c r="E643" s="68"/>
      <c r="F643" s="68"/>
      <c r="G643" s="68"/>
      <c r="H643" s="67">
        <v>1900</v>
      </c>
      <c r="I643" s="18"/>
    </row>
    <row r="644" spans="2:9" s="2" customFormat="1" ht="12">
      <c r="B644" s="69"/>
      <c r="C644" s="69"/>
      <c r="D644" s="69"/>
      <c r="E644" s="69"/>
      <c r="F644" s="69"/>
      <c r="G644" s="69"/>
      <c r="H644" s="70"/>
      <c r="I644" s="18"/>
    </row>
    <row r="645" spans="2:9" s="2" customFormat="1" ht="12">
      <c r="B645" s="26"/>
      <c r="C645" s="6"/>
      <c r="D645" s="6"/>
      <c r="E645" s="6"/>
      <c r="F645" s="6"/>
      <c r="G645" s="6"/>
      <c r="H645" s="7"/>
      <c r="I645" s="18"/>
    </row>
    <row r="646" spans="2:9" s="2" customFormat="1" ht="12">
      <c r="B646" s="75" t="s">
        <v>221</v>
      </c>
      <c r="C646" s="75"/>
      <c r="D646" s="75"/>
      <c r="E646" s="75"/>
      <c r="F646" s="75"/>
      <c r="G646" s="75"/>
      <c r="H646" s="67">
        <v>29200</v>
      </c>
      <c r="I646" s="18"/>
    </row>
    <row r="647" spans="2:9" s="2" customFormat="1" ht="12">
      <c r="B647" s="76"/>
      <c r="C647" s="76"/>
      <c r="D647" s="76"/>
      <c r="E647" s="76"/>
      <c r="F647" s="76"/>
      <c r="G647" s="76"/>
      <c r="H647" s="52"/>
      <c r="I647" s="18"/>
    </row>
    <row r="648" spans="2:9" s="2" customFormat="1" ht="12">
      <c r="B648" s="48"/>
      <c r="C648" s="48"/>
      <c r="D648" s="48"/>
      <c r="E648" s="48"/>
      <c r="F648" s="48"/>
      <c r="G648" s="48"/>
      <c r="H648" s="45"/>
      <c r="I648" s="18"/>
    </row>
    <row r="649" spans="2:9" s="2" customFormat="1" ht="12">
      <c r="B649" s="56" t="s">
        <v>1</v>
      </c>
      <c r="C649" s="57"/>
      <c r="D649" s="57"/>
      <c r="E649" s="57"/>
      <c r="F649" s="57"/>
      <c r="G649" s="57"/>
      <c r="H649" s="57"/>
    </row>
    <row r="650" spans="2:9" s="2" customFormat="1" ht="12">
      <c r="B650" s="57"/>
      <c r="C650" s="57"/>
      <c r="D650" s="57"/>
      <c r="E650" s="57"/>
      <c r="F650" s="57"/>
      <c r="G650" s="57"/>
      <c r="H650" s="57"/>
    </row>
    <row r="651" spans="2:9" s="2" customFormat="1" ht="12">
      <c r="B651" s="57"/>
      <c r="C651" s="57"/>
      <c r="D651" s="57"/>
      <c r="E651" s="57"/>
      <c r="F651" s="57"/>
      <c r="G651" s="57"/>
      <c r="H651" s="57"/>
    </row>
    <row r="652" spans="2:9" s="2" customFormat="1" ht="12">
      <c r="B652" s="57"/>
      <c r="C652" s="57"/>
      <c r="D652" s="57"/>
      <c r="E652" s="57"/>
      <c r="F652" s="57"/>
      <c r="G652" s="57"/>
      <c r="H652" s="57"/>
    </row>
    <row r="653" spans="2:9" s="2" customFormat="1" ht="12">
      <c r="B653" s="57"/>
      <c r="C653" s="57"/>
      <c r="D653" s="57"/>
      <c r="E653" s="57"/>
      <c r="F653" s="57"/>
      <c r="G653" s="57"/>
      <c r="H653" s="57"/>
    </row>
    <row r="654" spans="2:9" s="2" customFormat="1" ht="12">
      <c r="B654" s="57"/>
      <c r="C654" s="57"/>
      <c r="D654" s="57"/>
      <c r="E654" s="57"/>
      <c r="F654" s="57"/>
      <c r="G654" s="57"/>
      <c r="H654" s="57"/>
    </row>
    <row r="655" spans="2:9" s="2" customFormat="1" ht="12">
      <c r="B655" s="57"/>
      <c r="C655" s="57"/>
      <c r="D655" s="57"/>
      <c r="E655" s="57"/>
      <c r="F655" s="57"/>
      <c r="G655" s="57"/>
      <c r="H655" s="57"/>
    </row>
    <row r="656" spans="2:9" s="2" customFormat="1" thickBot="1">
      <c r="B656" s="38"/>
      <c r="C656" s="38"/>
      <c r="D656" s="38"/>
      <c r="E656" s="38"/>
      <c r="F656" s="38"/>
      <c r="G656" s="38"/>
      <c r="H656" s="38"/>
    </row>
    <row r="657" spans="2:8" s="2" customFormat="1" thickTop="1">
      <c r="B657" s="59" t="s">
        <v>30</v>
      </c>
      <c r="C657" s="59"/>
      <c r="D657" s="27"/>
      <c r="E657" s="27"/>
      <c r="F657" s="27"/>
      <c r="G657" s="27"/>
      <c r="H657" s="54">
        <f>H646+H643+H641+H640+H639</f>
        <v>193580.0025</v>
      </c>
    </row>
    <row r="658" spans="2:8" s="2" customFormat="1" thickBot="1">
      <c r="B658" s="60"/>
      <c r="C658" s="60"/>
      <c r="D658" s="28"/>
      <c r="E658" s="28"/>
      <c r="F658" s="28"/>
      <c r="G658" s="28"/>
      <c r="H658" s="55"/>
    </row>
    <row r="659" spans="2:8" ht="14" thickTop="1"/>
    <row r="660" spans="2:8" s="2" customFormat="1" ht="12">
      <c r="B660" s="29" t="s">
        <v>3</v>
      </c>
      <c r="C660" s="3" t="s">
        <v>32</v>
      </c>
    </row>
    <row r="661" spans="2:8" s="2" customFormat="1" ht="12">
      <c r="B661" s="29"/>
      <c r="C661" s="3"/>
    </row>
    <row r="662" spans="2:8" s="2" customFormat="1" ht="12">
      <c r="B662" s="29" t="s">
        <v>27</v>
      </c>
      <c r="C662" s="61" t="s">
        <v>36</v>
      </c>
      <c r="D662" s="61"/>
      <c r="E662" s="61"/>
      <c r="F662" s="61"/>
      <c r="G662" s="61"/>
      <c r="H662" s="61"/>
    </row>
    <row r="663" spans="2:8" s="2" customFormat="1" ht="12">
      <c r="B663" s="29"/>
      <c r="C663" s="61"/>
      <c r="D663" s="61"/>
      <c r="E663" s="61"/>
      <c r="F663" s="61"/>
      <c r="G663" s="61"/>
      <c r="H663" s="61"/>
    </row>
    <row r="664" spans="2:8" s="2" customFormat="1" ht="12">
      <c r="B664" s="29"/>
      <c r="H664" s="5"/>
    </row>
    <row r="665" spans="2:8" s="2" customFormat="1" ht="12">
      <c r="B665" s="29" t="s">
        <v>12</v>
      </c>
      <c r="C665" s="58" t="s">
        <v>11</v>
      </c>
      <c r="D665" s="58"/>
      <c r="E665" s="58"/>
      <c r="F665" s="58"/>
      <c r="G665" s="58"/>
      <c r="H665" s="58"/>
    </row>
    <row r="666" spans="2:8" s="2" customFormat="1" ht="12">
      <c r="B666" s="29"/>
      <c r="C666" s="58"/>
      <c r="D666" s="58"/>
      <c r="E666" s="58"/>
      <c r="F666" s="58"/>
      <c r="G666" s="58"/>
      <c r="H666" s="58"/>
    </row>
    <row r="667" spans="2:8" s="2" customFormat="1" ht="12">
      <c r="B667" s="29"/>
      <c r="C667" s="30"/>
      <c r="D667" s="30"/>
      <c r="E667" s="30"/>
      <c r="F667" s="30"/>
      <c r="G667" s="30"/>
      <c r="H667" s="31"/>
    </row>
    <row r="668" spans="2:8" s="2" customFormat="1" ht="12">
      <c r="B668" s="29" t="s">
        <v>13</v>
      </c>
      <c r="C668" s="58" t="s">
        <v>15</v>
      </c>
      <c r="D668" s="58"/>
      <c r="E668" s="58"/>
      <c r="F668" s="58"/>
      <c r="G668" s="58"/>
      <c r="H668" s="58"/>
    </row>
    <row r="669" spans="2:8" s="2" customFormat="1" ht="12">
      <c r="B669" s="29"/>
      <c r="C669" s="58"/>
      <c r="D669" s="58"/>
      <c r="E669" s="58"/>
      <c r="F669" s="58"/>
      <c r="G669" s="58"/>
      <c r="H669" s="58"/>
    </row>
    <row r="670" spans="2:8" s="2" customFormat="1" ht="12">
      <c r="B670" s="29"/>
      <c r="C670" s="3"/>
      <c r="D670" s="3"/>
      <c r="E670" s="3"/>
      <c r="F670" s="3"/>
      <c r="G670" s="3"/>
      <c r="H670" s="32"/>
    </row>
    <row r="671" spans="2:8" s="2" customFormat="1" ht="12">
      <c r="B671" s="29" t="s">
        <v>14</v>
      </c>
      <c r="C671" s="61" t="s">
        <v>17</v>
      </c>
      <c r="D671" s="61"/>
      <c r="E671" s="61"/>
      <c r="F671" s="61"/>
      <c r="G671" s="61"/>
      <c r="H671" s="61"/>
    </row>
    <row r="672" spans="2:8" s="2" customFormat="1" ht="12">
      <c r="B672" s="29"/>
      <c r="C672" s="61"/>
      <c r="D672" s="61"/>
      <c r="E672" s="61"/>
      <c r="F672" s="61"/>
      <c r="G672" s="61"/>
      <c r="H672" s="61"/>
    </row>
    <row r="673" spans="2:9" s="2" customFormat="1" ht="12">
      <c r="B673" s="29"/>
      <c r="H673" s="5"/>
    </row>
    <row r="674" spans="2:9" s="2" customFormat="1" ht="12">
      <c r="B674" s="29" t="s">
        <v>31</v>
      </c>
      <c r="C674" s="61" t="s">
        <v>5</v>
      </c>
      <c r="D674" s="61"/>
      <c r="E674" s="61"/>
      <c r="F674" s="61"/>
      <c r="G674" s="61"/>
      <c r="H674" s="61"/>
    </row>
    <row r="675" spans="2:9" s="2" customFormat="1" ht="12">
      <c r="B675" s="29"/>
      <c r="C675" s="61"/>
      <c r="D675" s="61"/>
      <c r="E675" s="61"/>
      <c r="F675" s="61"/>
      <c r="G675" s="61"/>
      <c r="H675" s="61"/>
    </row>
    <row r="676" spans="2:9" s="2" customFormat="1" ht="12">
      <c r="B676" s="12"/>
      <c r="H676" s="5"/>
    </row>
    <row r="677" spans="2:9" s="2" customFormat="1" ht="12" customHeight="1">
      <c r="B677" s="12" t="s">
        <v>28</v>
      </c>
      <c r="C677" s="56" t="s">
        <v>2</v>
      </c>
      <c r="D677" s="56"/>
      <c r="E677" s="56"/>
      <c r="F677" s="56"/>
      <c r="G677" s="56"/>
      <c r="H677" s="56"/>
    </row>
    <row r="678" spans="2:9" s="2" customFormat="1" ht="12">
      <c r="B678" s="12"/>
      <c r="C678" s="56"/>
      <c r="D678" s="56"/>
      <c r="E678" s="56"/>
      <c r="F678" s="56"/>
      <c r="G678" s="56"/>
      <c r="H678" s="56"/>
    </row>
    <row r="679" spans="2:9" s="2" customFormat="1" ht="12">
      <c r="B679" s="12"/>
      <c r="C679" s="56"/>
      <c r="D679" s="56"/>
      <c r="E679" s="56"/>
      <c r="F679" s="56"/>
      <c r="G679" s="56"/>
      <c r="H679" s="56"/>
    </row>
    <row r="680" spans="2:9" s="2" customFormat="1" ht="12">
      <c r="B680" s="12"/>
      <c r="C680" s="33"/>
      <c r="D680" s="33"/>
      <c r="E680" s="33"/>
      <c r="F680" s="33"/>
      <c r="G680" s="33"/>
      <c r="H680" s="33"/>
    </row>
    <row r="681" spans="2:9" s="2" customFormat="1" ht="12">
      <c r="B681" s="12"/>
      <c r="C681" s="56" t="s">
        <v>19</v>
      </c>
      <c r="D681" s="56"/>
      <c r="E681" s="56"/>
      <c r="F681" s="56"/>
      <c r="G681" s="56"/>
      <c r="H681" s="56"/>
    </row>
    <row r="682" spans="2:9" s="2" customFormat="1" ht="12">
      <c r="B682" s="12"/>
      <c r="C682" s="56"/>
      <c r="D682" s="56"/>
      <c r="E682" s="56"/>
      <c r="F682" s="56"/>
      <c r="G682" s="56"/>
      <c r="H682" s="56"/>
    </row>
    <row r="683" spans="2:9" s="2" customFormat="1" ht="12">
      <c r="B683" s="12"/>
      <c r="C683" s="56" t="s">
        <v>20</v>
      </c>
      <c r="D683" s="56"/>
      <c r="E683" s="56"/>
      <c r="F683" s="56"/>
      <c r="G683" s="56"/>
      <c r="H683" s="56"/>
    </row>
    <row r="684" spans="2:9" s="2" customFormat="1" ht="12">
      <c r="B684" s="12"/>
      <c r="C684" s="56"/>
      <c r="D684" s="56"/>
      <c r="E684" s="56"/>
      <c r="F684" s="56"/>
      <c r="G684" s="56"/>
      <c r="H684" s="56"/>
    </row>
    <row r="685" spans="2:9" s="2" customFormat="1" ht="12">
      <c r="B685" s="12"/>
      <c r="C685" s="33"/>
      <c r="D685" s="33"/>
      <c r="E685" s="33"/>
      <c r="F685" s="33"/>
      <c r="G685" s="33"/>
      <c r="H685" s="33"/>
    </row>
    <row r="686" spans="2:9" s="2" customFormat="1" ht="12">
      <c r="B686" s="12"/>
      <c r="C686" s="33"/>
      <c r="D686" s="33"/>
      <c r="E686" s="33"/>
      <c r="F686" s="33"/>
      <c r="G686" s="33"/>
      <c r="H686" s="33"/>
    </row>
    <row r="687" spans="2:9" s="2" customFormat="1" ht="12">
      <c r="B687" s="64" t="s">
        <v>21</v>
      </c>
      <c r="C687" s="64"/>
      <c r="D687" s="65"/>
      <c r="G687" s="34" t="str">
        <f>D5</f>
        <v>DAVID SAMSON</v>
      </c>
      <c r="H687" s="34"/>
      <c r="I687" s="34"/>
    </row>
    <row r="688" spans="2:9" s="2" customFormat="1" ht="12">
      <c r="B688" s="62" t="s">
        <v>22</v>
      </c>
      <c r="C688" s="62"/>
      <c r="D688" s="62"/>
      <c r="E688" s="57"/>
      <c r="G688" s="2" t="str">
        <f>D1</f>
        <v>ALAMO MANHATTAN</v>
      </c>
    </row>
    <row r="689" spans="2:9" s="2" customFormat="1" ht="12">
      <c r="B689" s="62" t="s">
        <v>23</v>
      </c>
      <c r="C689" s="63"/>
      <c r="D689" s="63"/>
      <c r="G689" s="62" t="s">
        <v>16</v>
      </c>
      <c r="H689" s="63"/>
      <c r="I689" s="63"/>
    </row>
    <row r="691" spans="2:9" s="2" customFormat="1" ht="12">
      <c r="B691" s="12"/>
      <c r="H691" s="5"/>
    </row>
    <row r="696" spans="2:9" s="2" customFormat="1" ht="12">
      <c r="B696" s="12"/>
      <c r="H696" s="5"/>
    </row>
    <row r="697" spans="2:9" s="2" customFormat="1" ht="12">
      <c r="B697" s="12"/>
      <c r="H697" s="5"/>
    </row>
    <row r="698" spans="2:9" s="2" customFormat="1" ht="12">
      <c r="B698" s="12"/>
      <c r="H698" s="5"/>
    </row>
    <row r="699" spans="2:9" s="2" customFormat="1" ht="12">
      <c r="B699" s="12"/>
      <c r="H699" s="5"/>
    </row>
    <row r="700" spans="2:9" s="2" customFormat="1" ht="12">
      <c r="B700" s="12"/>
      <c r="H700" s="5"/>
    </row>
    <row r="701" spans="2:9" s="2" customFormat="1" ht="12"/>
    <row r="702" spans="2:9" s="2" customFormat="1" ht="12"/>
    <row r="703" spans="2:9" s="2" customFormat="1" ht="12"/>
    <row r="704" spans="2:9" s="2" customFormat="1" ht="12"/>
    <row r="705" s="2" customFormat="1" ht="12"/>
    <row r="706" s="2" customFormat="1" ht="12"/>
  </sheetData>
  <mergeCells count="131">
    <mergeCell ref="A374:H375"/>
    <mergeCell ref="I374:I375"/>
    <mergeCell ref="A427:H428"/>
    <mergeCell ref="I427:I428"/>
    <mergeCell ref="A533:H534"/>
    <mergeCell ref="I533:I534"/>
    <mergeCell ref="A144:H145"/>
    <mergeCell ref="I144:I145"/>
    <mergeCell ref="A155:H156"/>
    <mergeCell ref="I155:I156"/>
    <mergeCell ref="A171:H172"/>
    <mergeCell ref="I171:I172"/>
    <mergeCell ref="A182:H183"/>
    <mergeCell ref="A56:H57"/>
    <mergeCell ref="I56:I57"/>
    <mergeCell ref="A162:H163"/>
    <mergeCell ref="I162:I163"/>
    <mergeCell ref="A121:H122"/>
    <mergeCell ref="I121:I122"/>
    <mergeCell ref="A133:H134"/>
    <mergeCell ref="I133:I134"/>
    <mergeCell ref="A81:H82"/>
    <mergeCell ref="I81:I82"/>
    <mergeCell ref="A94:H95"/>
    <mergeCell ref="I94:I95"/>
    <mergeCell ref="A109:H110"/>
    <mergeCell ref="I109:I110"/>
    <mergeCell ref="G107:H107"/>
    <mergeCell ref="G160:H160"/>
    <mergeCell ref="B689:D689"/>
    <mergeCell ref="G689:I689"/>
    <mergeCell ref="C681:H682"/>
    <mergeCell ref="C683:H684"/>
    <mergeCell ref="B687:D687"/>
    <mergeCell ref="B688:E688"/>
    <mergeCell ref="I12:I13"/>
    <mergeCell ref="A12:C13"/>
    <mergeCell ref="C668:H669"/>
    <mergeCell ref="H646:H647"/>
    <mergeCell ref="B643:G644"/>
    <mergeCell ref="H643:H644"/>
    <mergeCell ref="A29:E30"/>
    <mergeCell ref="I29:I30"/>
    <mergeCell ref="A39:H40"/>
    <mergeCell ref="I39:I40"/>
    <mergeCell ref="A68:H69"/>
    <mergeCell ref="I68:I69"/>
    <mergeCell ref="G54:H54"/>
    <mergeCell ref="A609:H610"/>
    <mergeCell ref="I609:I610"/>
    <mergeCell ref="B646:G647"/>
    <mergeCell ref="A193:H194"/>
    <mergeCell ref="I193:I194"/>
    <mergeCell ref="H657:H658"/>
    <mergeCell ref="B649:H655"/>
    <mergeCell ref="C665:H666"/>
    <mergeCell ref="B657:C658"/>
    <mergeCell ref="C674:H675"/>
    <mergeCell ref="C671:H672"/>
    <mergeCell ref="C662:H663"/>
    <mergeCell ref="C677:H679"/>
    <mergeCell ref="G213:H213"/>
    <mergeCell ref="A229:H230"/>
    <mergeCell ref="I229:I230"/>
    <mergeCell ref="A236:H237"/>
    <mergeCell ref="I236:I237"/>
    <mergeCell ref="I182:I183"/>
    <mergeCell ref="A206:H207"/>
    <mergeCell ref="I206:I207"/>
    <mergeCell ref="A222:H223"/>
    <mergeCell ref="I222:I223"/>
    <mergeCell ref="A215:H216"/>
    <mergeCell ref="I215:I216"/>
    <mergeCell ref="A268:H269"/>
    <mergeCell ref="I268:I269"/>
    <mergeCell ref="G266:H266"/>
    <mergeCell ref="A275:H276"/>
    <mergeCell ref="I275:I276"/>
    <mergeCell ref="A243:H244"/>
    <mergeCell ref="I243:I244"/>
    <mergeCell ref="A250:H251"/>
    <mergeCell ref="I250:I251"/>
    <mergeCell ref="A257:H258"/>
    <mergeCell ref="I257:I258"/>
    <mergeCell ref="G372:H372"/>
    <mergeCell ref="A364:H365"/>
    <mergeCell ref="I364:I365"/>
    <mergeCell ref="A289:H290"/>
    <mergeCell ref="I289:I290"/>
    <mergeCell ref="A349:H350"/>
    <mergeCell ref="I349:I350"/>
    <mergeCell ref="A303:H304"/>
    <mergeCell ref="I303:I304"/>
    <mergeCell ref="A321:H322"/>
    <mergeCell ref="I321:I322"/>
    <mergeCell ref="A335:H336"/>
    <mergeCell ref="I335:I336"/>
    <mergeCell ref="G319:H319"/>
    <mergeCell ref="A385:H386"/>
    <mergeCell ref="I385:I386"/>
    <mergeCell ref="A401:H402"/>
    <mergeCell ref="I401:I402"/>
    <mergeCell ref="G425:H425"/>
    <mergeCell ref="G478:H478"/>
    <mergeCell ref="G531:H531"/>
    <mergeCell ref="A464:H465"/>
    <mergeCell ref="I464:I465"/>
    <mergeCell ref="A480:H481"/>
    <mergeCell ref="I480:I481"/>
    <mergeCell ref="A494:H495"/>
    <mergeCell ref="I494:I495"/>
    <mergeCell ref="A415:H416"/>
    <mergeCell ref="I415:I416"/>
    <mergeCell ref="A436:H437"/>
    <mergeCell ref="I436:I437"/>
    <mergeCell ref="A450:H451"/>
    <mergeCell ref="I450:I451"/>
    <mergeCell ref="A522:H523"/>
    <mergeCell ref="I522:I523"/>
    <mergeCell ref="A541:H542"/>
    <mergeCell ref="I541:I542"/>
    <mergeCell ref="A555:H556"/>
    <mergeCell ref="I555:I556"/>
    <mergeCell ref="A508:H509"/>
    <mergeCell ref="I508:I509"/>
    <mergeCell ref="A586:H587"/>
    <mergeCell ref="I586:I587"/>
    <mergeCell ref="G637:H637"/>
    <mergeCell ref="G584:H584"/>
    <mergeCell ref="A569:H570"/>
    <mergeCell ref="I569:I570"/>
  </mergeCells>
  <phoneticPr fontId="2"/>
  <printOptions horizontalCentered="1" verticalCentered="1"/>
  <pageMargins left="0.25" right="0.25" top="1.5" bottom="0.5" header="0" footer="0.15"/>
  <pageSetup orientation="portrait" horizontalDpi="4294967292" verticalDpi="4294967292"/>
  <headerFooter alignWithMargins="0">
    <oddHeader>&amp;C&amp;K000000&amp;G</oddHeader>
    <oddFooter>&amp;L1351 Regal Row
Dallas, Texas 75247&amp;RFON 214-630-2125
FAX 214-630-2314</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baseColWidth="10" defaultRowHeight="13"/>
  <sheetData/>
  <phoneticPr fontId="4" type="noConversion"/>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baseColWidth="10" defaultRowHeight="13"/>
  <sheetData/>
  <phoneticPr fontId="4" type="noConversion"/>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Alissa Wyatt</dc:creator>
  <cp:lastModifiedBy>Cameron Toms</cp:lastModifiedBy>
  <cp:lastPrinted>2023-05-23T21:40:14Z</cp:lastPrinted>
  <dcterms:created xsi:type="dcterms:W3CDTF">2008-03-19T14:06:24Z</dcterms:created>
  <dcterms:modified xsi:type="dcterms:W3CDTF">2023-05-23T21:41:20Z</dcterms:modified>
</cp:coreProperties>
</file>