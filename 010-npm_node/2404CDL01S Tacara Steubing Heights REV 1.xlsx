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ate1904="1"/>
  <mc:AlternateContent xmlns:mc="http://schemas.openxmlformats.org/markup-compatibility/2006">
    <mc:Choice Requires="x15">
      <x15ac:absPath xmlns:x15ac="http://schemas.microsoft.com/office/spreadsheetml/2010/11/ac" url="/Volumes/company/CONTRACTS/Casey Development Group/Tacara Steubing Heights/Signage/"/>
    </mc:Choice>
  </mc:AlternateContent>
  <xr:revisionPtr revIDLastSave="0" documentId="13_ncr:1_{26920B1C-E91F-B945-AD1C-EB292B6AA292}" xr6:coauthVersionLast="47" xr6:coauthVersionMax="47" xr10:uidLastSave="{00000000-0000-0000-0000-000000000000}"/>
  <bookViews>
    <workbookView xWindow="24400" yWindow="500" windowWidth="25220" windowHeight="26420" tabRatio="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27" i="1" l="1"/>
  <c r="I224" i="1" s="1"/>
  <c r="I230" i="1"/>
  <c r="I231" i="1"/>
  <c r="I232" i="1"/>
  <c r="I233" i="1"/>
  <c r="I234" i="1"/>
  <c r="I235" i="1"/>
  <c r="I236" i="1"/>
  <c r="I237" i="1"/>
  <c r="I238" i="1"/>
  <c r="I239" i="1"/>
  <c r="I240" i="1"/>
  <c r="I241" i="1"/>
  <c r="I242" i="1"/>
  <c r="I228" i="1"/>
  <c r="I115" i="1"/>
  <c r="I139" i="1"/>
  <c r="I116" i="1"/>
  <c r="I114" i="1"/>
  <c r="I113" i="1"/>
  <c r="I112" i="1"/>
  <c r="I105" i="1"/>
  <c r="G266" i="1"/>
  <c r="F266" i="1"/>
  <c r="I29" i="1"/>
  <c r="I27" i="1"/>
  <c r="I221" i="1"/>
  <c r="I203" i="1"/>
  <c r="I202" i="1"/>
  <c r="I201" i="1"/>
  <c r="I200" i="1"/>
  <c r="I199" i="1"/>
  <c r="I198" i="1"/>
  <c r="I197" i="1"/>
  <c r="I196" i="1"/>
  <c r="I191" i="1"/>
  <c r="I190" i="1"/>
  <c r="I189" i="1"/>
  <c r="I188" i="1"/>
  <c r="I187" i="1"/>
  <c r="I186" i="1"/>
  <c r="I185" i="1"/>
  <c r="I180" i="1"/>
  <c r="I179" i="1"/>
  <c r="I178" i="1"/>
  <c r="I177" i="1"/>
  <c r="I176" i="1"/>
  <c r="I175" i="1"/>
  <c r="I174" i="1"/>
  <c r="I169" i="1"/>
  <c r="I168" i="1"/>
  <c r="I167" i="1"/>
  <c r="I166" i="1"/>
  <c r="I165" i="1"/>
  <c r="G213" i="1"/>
  <c r="F213" i="1"/>
  <c r="I159" i="1"/>
  <c r="I158" i="1"/>
  <c r="I157" i="1"/>
  <c r="I156" i="1"/>
  <c r="I155" i="1"/>
  <c r="I154" i="1"/>
  <c r="I153" i="1"/>
  <c r="I152" i="1"/>
  <c r="I146" i="1"/>
  <c r="I145" i="1"/>
  <c r="I144" i="1"/>
  <c r="I143" i="1"/>
  <c r="I142" i="1"/>
  <c r="I147" i="1"/>
  <c r="I141" i="1"/>
  <c r="I140" i="1"/>
  <c r="I138" i="1"/>
  <c r="I137" i="1"/>
  <c r="I136" i="1"/>
  <c r="I135" i="1"/>
  <c r="I134" i="1"/>
  <c r="I129" i="1"/>
  <c r="I128" i="1"/>
  <c r="I127" i="1"/>
  <c r="I126" i="1"/>
  <c r="I125" i="1"/>
  <c r="I124" i="1"/>
  <c r="I123" i="1"/>
  <c r="I122" i="1"/>
  <c r="I117" i="1"/>
  <c r="I104" i="1"/>
  <c r="I103" i="1"/>
  <c r="I102" i="1"/>
  <c r="I101" i="1"/>
  <c r="I100" i="1"/>
  <c r="I99" i="1"/>
  <c r="I98" i="1"/>
  <c r="I72" i="1"/>
  <c r="I71" i="1"/>
  <c r="I93" i="1"/>
  <c r="I92" i="1"/>
  <c r="I91" i="1"/>
  <c r="I90" i="1"/>
  <c r="I89" i="1"/>
  <c r="I88" i="1"/>
  <c r="I87" i="1"/>
  <c r="I86" i="1"/>
  <c r="I85" i="1"/>
  <c r="I84" i="1"/>
  <c r="I83" i="1"/>
  <c r="I78" i="1"/>
  <c r="I77" i="1"/>
  <c r="I70" i="1"/>
  <c r="I69" i="1"/>
  <c r="I68" i="1"/>
  <c r="I67" i="1"/>
  <c r="I66" i="1"/>
  <c r="I65" i="1"/>
  <c r="I64" i="1"/>
  <c r="I63" i="1"/>
  <c r="I62" i="1"/>
  <c r="I61" i="1"/>
  <c r="I60" i="1"/>
  <c r="I59" i="1"/>
  <c r="I52" i="1"/>
  <c r="I51" i="1"/>
  <c r="I50" i="1"/>
  <c r="I49" i="1"/>
  <c r="I48" i="1"/>
  <c r="I24" i="1"/>
  <c r="I21" i="1"/>
  <c r="I36" i="1"/>
  <c r="I18" i="1"/>
  <c r="I15" i="1"/>
  <c r="G54" i="1"/>
  <c r="G160" i="1"/>
  <c r="F160" i="1"/>
  <c r="F107" i="1"/>
  <c r="F54" i="1"/>
  <c r="G301" i="1"/>
  <c r="G300" i="1"/>
  <c r="I219" i="1"/>
  <c r="I222" i="1"/>
  <c r="I209" i="1"/>
  <c r="G107" i="1"/>
  <c r="I40" i="1"/>
  <c r="I41" i="1"/>
  <c r="I208" i="1"/>
  <c r="I210" i="1"/>
  <c r="I211" i="1"/>
  <c r="I218" i="1"/>
  <c r="I220" i="1"/>
  <c r="I35" i="1"/>
  <c r="I37" i="1"/>
  <c r="I38" i="1"/>
  <c r="I39" i="1"/>
  <c r="I95" i="1" l="1"/>
  <c r="I12" i="1"/>
  <c r="I205" i="1"/>
  <c r="I119" i="1"/>
  <c r="I171" i="1"/>
  <c r="I149" i="1"/>
  <c r="I182" i="1"/>
  <c r="I193" i="1"/>
  <c r="I131" i="1"/>
  <c r="I74" i="1"/>
  <c r="I45" i="1"/>
  <c r="I80" i="1"/>
  <c r="I32" i="1"/>
  <c r="H247" i="1" l="1"/>
  <c r="H248" i="1" s="1"/>
  <c r="H264" i="1" s="1"/>
</calcChain>
</file>

<file path=xl/sharedStrings.xml><?xml version="1.0" encoding="utf-8"?>
<sst xmlns="http://schemas.openxmlformats.org/spreadsheetml/2006/main" count="369" uniqueCount="187">
  <si>
    <t>PERMIT PROCUREMENT &amp; ACQUISITION (ALL CITY &amp; ENGINEERING FEES ADDITIONAL, BILLED AT COST):</t>
    <phoneticPr fontId="2"/>
  </si>
  <si>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</si>
  <si>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
  </si>
  <si>
    <t>SUBTOTAL</t>
  </si>
  <si>
    <t>STANDARD PRODUCTION AND FABRICATION TIME IS 4-6 WEEKS FROM COMPLETE SIGNAGE BOOK APPROVAL.</t>
  </si>
  <si>
    <t>#1: ENTRY SIGNAGE</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</si>
  <si>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</si>
  <si>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</si>
  <si>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</si>
  <si>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</si>
  <si>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</si>
  <si>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</si>
  <si>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</si>
  <si>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</si>
  <si>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</si>
  <si>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</si>
  <si>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TAX (TRAVEL/INSTALLATION AND PERMITS ARE NON-TAXABLE)</t>
  </si>
  <si>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</si>
  <si>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</si>
  <si>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</si>
  <si>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</si>
  <si>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</si>
  <si>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</si>
  <si>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</si>
  <si>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</si>
  <si>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</si>
  <si>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</si>
  <si>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</si>
  <si>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</si>
  <si>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t>
  </si>
  <si>
    <t>1/2 DOWN INSTALLMENT DUE UPON APPROVAL OF CONTRACT.</t>
  </si>
  <si>
    <t>FOURCE COMMUNICATIONS</t>
    <phoneticPr fontId="2"/>
  </si>
  <si>
    <t>QUOTE#</t>
    <phoneticPr fontId="2"/>
  </si>
  <si>
    <t>PAGE 2</t>
    <phoneticPr fontId="2"/>
  </si>
  <si>
    <t>BACK HALF WILL BE BILLED UPON INITIAL INSTALL LESS 10%. FINAL RETAINAGE DUE UPON COMPLETION.</t>
  </si>
  <si>
    <t>A.</t>
  </si>
  <si>
    <t>B.</t>
  </si>
  <si>
    <t>C.</t>
  </si>
  <si>
    <t>D.</t>
  </si>
  <si>
    <t>E.</t>
  </si>
  <si>
    <t>"DOORS TO REMAIN UNLOCKED…" VINYL KIT</t>
  </si>
  <si>
    <t>911 EMERGENCY PHONE SIGN</t>
  </si>
  <si>
    <t>POOL GATE W/ HOURS &amp; 911 DIRECTIONAL</t>
  </si>
  <si>
    <t>F.</t>
  </si>
  <si>
    <t>G.</t>
  </si>
  <si>
    <t>H.</t>
  </si>
  <si>
    <t>I.</t>
  </si>
  <si>
    <t>J.</t>
  </si>
  <si>
    <t>K.</t>
  </si>
  <si>
    <t>L.</t>
  </si>
  <si>
    <t>M.</t>
  </si>
  <si>
    <t>N.</t>
  </si>
  <si>
    <t>PAGE 4</t>
  </si>
  <si>
    <t>ADDRESS ID - INDIVIDUAL NUMERALS</t>
  </si>
  <si>
    <t>CUSTOM FUTURE RESIDENT PARKING SIGN - POST MOUNT</t>
  </si>
  <si>
    <t>CUSTOM HANDICAP PARKING SIGN - POST MOUNT</t>
  </si>
  <si>
    <t>PAGE 3</t>
  </si>
  <si>
    <t>O.</t>
  </si>
  <si>
    <t>*FOURCE TO SUPPLY CUSTOM PARKING SIGNAGE AT LEASING AREA,</t>
  </si>
  <si>
    <t>BALANCE TO BE CARRIED UNDER STRIPER SUB CONTRACTORS SCOPE*</t>
  </si>
  <si>
    <r>
      <t xml:space="preserve">#4: SITE SIGNAGE </t>
    </r>
    <r>
      <rPr>
        <b/>
        <sz val="9"/>
        <color indexed="10"/>
        <rFont val="Gill Sans Light"/>
      </rPr>
      <t>*ADA/BRAILLE WHERE APPLICABLE</t>
    </r>
  </si>
  <si>
    <t>ADDT. TX POOL POLICY - FENCE MOUNT</t>
  </si>
  <si>
    <t>POOL POLICY - FENCE MOUNT</t>
  </si>
  <si>
    <t>WARNING NO LIFEGUARD / NO DIVING - FENCE MOUNT</t>
  </si>
  <si>
    <t>DOG PARK ID / POLICY - FENCE MOUNT</t>
  </si>
  <si>
    <t>POOL EQUIPMENT ID</t>
  </si>
  <si>
    <t xml:space="preserve">CUSTOM USPS PARKING SIGN - POST MOUNT </t>
  </si>
  <si>
    <t>CASEY DEVELOPMENT LTD.</t>
  </si>
  <si>
    <t>200 BASSE, SUITE 300</t>
  </si>
  <si>
    <t>SAN ANTONIO, TX 78209</t>
  </si>
  <si>
    <t>DREW CARAWAY / SYLVIA RODRIGUEZ</t>
  </si>
  <si>
    <t>2404CDL01S</t>
  </si>
  <si>
    <t>05.10.24</t>
  </si>
  <si>
    <t>TACARA STEUBING HEIGHTS</t>
  </si>
  <si>
    <t>HOURS SIGN W/ CHANGEABLE HOURS</t>
  </si>
  <si>
    <t>LEASING CENTER DOUBLE DOOR VINYL KIT (LOGO, URL, PHONE)</t>
  </si>
  <si>
    <t>*POWER AND BLOCKING TO LOCATION BY OTHERS*</t>
  </si>
  <si>
    <t>D</t>
  </si>
  <si>
    <t>MANAGER ID W/ BACKER</t>
  </si>
  <si>
    <t>ASSISTANT MANAGER ID W/ BACKER</t>
  </si>
  <si>
    <t>OFFICE ID W/ BACKER</t>
  </si>
  <si>
    <t xml:space="preserve">LEASING ID </t>
  </si>
  <si>
    <t xml:space="preserve">UNISEX RESTROOM </t>
  </si>
  <si>
    <t>MEN'S RESTROOM</t>
  </si>
  <si>
    <t>WOMEN'S RESTROOM</t>
  </si>
  <si>
    <t>EMPLOYEE ONLY (JANITOR) (@ UNISEX)</t>
  </si>
  <si>
    <t>MDF ID</t>
  </si>
  <si>
    <t>PACKAGE ROOM ID</t>
  </si>
  <si>
    <t>METER ROOM ID (X1 INT, X1 EXT)</t>
  </si>
  <si>
    <t xml:space="preserve">CLUB ROOM ID </t>
  </si>
  <si>
    <t>CLUB ROOM POLICY - WALL MOUNT</t>
  </si>
  <si>
    <t>FITNESS ID</t>
  </si>
  <si>
    <t>FITNESS POLICY - WALL MOUNT</t>
  </si>
  <si>
    <t>P.</t>
  </si>
  <si>
    <t>Q.</t>
  </si>
  <si>
    <t>R.</t>
  </si>
  <si>
    <t>S.</t>
  </si>
  <si>
    <t>LOUNGE DECK ID</t>
  </si>
  <si>
    <t>CO-WORK POLICY - WALL MOUNT</t>
  </si>
  <si>
    <t>CONFERENCE ROOM ID</t>
  </si>
  <si>
    <t>CLUB ROOM BALCONY ID</t>
  </si>
  <si>
    <t xml:space="preserve">TRASH ENCLOSURE ID / POLICY </t>
  </si>
  <si>
    <t>TRASH COMPACTOR ID / POLICY</t>
  </si>
  <si>
    <r>
      <t xml:space="preserve">#5: BUILDING 1 - LEVEL 1 SIGNAGE </t>
    </r>
    <r>
      <rPr>
        <b/>
        <sz val="9"/>
        <color indexed="10"/>
        <rFont val="Gill Sans Light"/>
      </rPr>
      <t>*ADA/BRAILLE WHERE APPLICABLE</t>
    </r>
  </si>
  <si>
    <t>BUILDING ID W/ UNIT SPREAD</t>
  </si>
  <si>
    <t>BUILDING ACCESS EXT</t>
  </si>
  <si>
    <t>STAIR ACCESS EXT (X1 EACH @ STAIR 1 &amp; STAIR 2)</t>
  </si>
  <si>
    <t xml:space="preserve">HALLWAY DIRECTIONAL </t>
  </si>
  <si>
    <t>UNIT DOOR NUMBERS</t>
  </si>
  <si>
    <t>ELEVATOR EGRESS MAP / DO NOT USE</t>
  </si>
  <si>
    <t>FIRE RISER ROOM (4") - DIAMOND GRADE</t>
  </si>
  <si>
    <t>FDC W/ ADDRESS - DIAMOND GRADE</t>
  </si>
  <si>
    <r>
      <t xml:space="preserve">#6: BUILDING 1 - LEVEL 2 SIGNAGE </t>
    </r>
    <r>
      <rPr>
        <b/>
        <sz val="9"/>
        <color indexed="10"/>
        <rFont val="Gill Sans Light"/>
      </rPr>
      <t>*ADA/BRAILLE WHERE APPLICABLE</t>
    </r>
  </si>
  <si>
    <t xml:space="preserve">UNIT DOOR NUMBERS </t>
  </si>
  <si>
    <t>HALLWAY DIRECTIONAL</t>
  </si>
  <si>
    <t>IDF ID</t>
  </si>
  <si>
    <t>FIRE DOOR / DO NOT BLOCK (X2 @ EACH)</t>
  </si>
  <si>
    <r>
      <t xml:space="preserve">#7: BUILDING 1 - LEVEL 3 SIGNAGE </t>
    </r>
    <r>
      <rPr>
        <b/>
        <sz val="9"/>
        <color indexed="10"/>
        <rFont val="Gill Sans Light"/>
      </rPr>
      <t>*ADA/BRAILLE WHERE APPLICABLE</t>
    </r>
  </si>
  <si>
    <r>
      <t xml:space="preserve">#8: BUILDING 1 - LEVEL 4 SIGNAGE </t>
    </r>
    <r>
      <rPr>
        <b/>
        <sz val="9"/>
        <color indexed="10"/>
        <rFont val="Gill Sans Light"/>
      </rPr>
      <t>*ADA/BRAILLE WHERE APPLICABLE</t>
    </r>
  </si>
  <si>
    <t xml:space="preserve">LOUNGE ID </t>
  </si>
  <si>
    <t xml:space="preserve">LOUNGE POLICY - WALL MOUNT </t>
  </si>
  <si>
    <t>MAX OCCUPANCY (LOUNGE, DECK)</t>
  </si>
  <si>
    <t>AC ID</t>
  </si>
  <si>
    <r>
      <t xml:space="preserve">#9: BUILDING 2 - LEVEL 1 SIGNAGE </t>
    </r>
    <r>
      <rPr>
        <b/>
        <sz val="9"/>
        <color indexed="10"/>
        <rFont val="Gill Sans Light"/>
      </rPr>
      <t>*ADA/BRAILLE WHERE APPLICABLE</t>
    </r>
  </si>
  <si>
    <t>PAGE 5</t>
  </si>
  <si>
    <r>
      <t xml:space="preserve">#9: BUILDING 2 - LEVEL 1 SIGNAGE CONT. </t>
    </r>
    <r>
      <rPr>
        <b/>
        <sz val="9"/>
        <color indexed="10"/>
        <rFont val="Gill Sans Light"/>
      </rPr>
      <t>*ADA/BRAILLE WHERE APPLICABLE</t>
    </r>
  </si>
  <si>
    <t>TELECOM ID</t>
  </si>
  <si>
    <t>ELECTRICAL ID</t>
  </si>
  <si>
    <t>METER ID EXT.</t>
  </si>
  <si>
    <r>
      <t xml:space="preserve">#10: BUILDING 2 - LEVEL 2 SIGNAGE </t>
    </r>
    <r>
      <rPr>
        <b/>
        <sz val="9"/>
        <color indexed="10"/>
        <rFont val="Gill Sans Light"/>
      </rPr>
      <t>*ADA/BRAILLE WHERE APPLICABLE</t>
    </r>
  </si>
  <si>
    <r>
      <t xml:space="preserve">#11: BUILDING 2 - LEVEL 3 SIGNAGE </t>
    </r>
    <r>
      <rPr>
        <b/>
        <sz val="9"/>
        <color indexed="10"/>
        <rFont val="Gill Sans Light"/>
      </rPr>
      <t>*ADA/BRAILLE WHERE APPLICABLE</t>
    </r>
  </si>
  <si>
    <r>
      <t xml:space="preserve">#12: BUILDING 2 - LEVEL 4 SIGNAGE </t>
    </r>
    <r>
      <rPr>
        <b/>
        <sz val="9"/>
        <color indexed="10"/>
        <rFont val="Gill Sans Light"/>
      </rPr>
      <t>*ADA/BRAILLE WHERE APPLICABLE</t>
    </r>
  </si>
  <si>
    <t>ROOF ACCESS (@ STAIR 1)</t>
  </si>
  <si>
    <r>
      <t xml:space="preserve">#13: AMENITY SIGNAGE </t>
    </r>
    <r>
      <rPr>
        <b/>
        <sz val="9"/>
        <color indexed="10"/>
        <rFont val="Gill Sans Light"/>
      </rPr>
      <t>*ADA/BRAILLE WHERE APPLICABLE</t>
    </r>
  </si>
  <si>
    <t>EMERGENCY PHONE DIRECTIONAL (POOL SIDE) (X1 @ EACH GATE)</t>
  </si>
  <si>
    <t>GRILL POLICIES (@ POOL)</t>
  </si>
  <si>
    <r>
      <t xml:space="preserve">#13: AMENITY SIGNAGE CONT. </t>
    </r>
    <r>
      <rPr>
        <b/>
        <sz val="9"/>
        <color indexed="10"/>
        <rFont val="Gill Sans Light"/>
      </rPr>
      <t>*ADA/BRAILLE WHERE APPLICABLE</t>
    </r>
  </si>
  <si>
    <t>PAGE 6</t>
  </si>
  <si>
    <t>TRAVEL/INSTALLATION (INCLUDES CRANE AND PERSONNEL FOR MONUMENTS AND WALL SIGNS (X2 TRIPS)</t>
  </si>
  <si>
    <t>DOUBLE FACED DIRECTIONAL SIGN (W/ ADDRESS &amp; BLDG #'S)</t>
  </si>
  <si>
    <t>LOCATED AT INTERSECTION OF BLDG 1 &amp; 2</t>
  </si>
  <si>
    <t>DOUBLE FACED ILLUMINATED MONUMENT SIGN LOCATED AT ENTRY</t>
  </si>
  <si>
    <r>
      <t xml:space="preserve"> JV BACON PKWY. </t>
    </r>
    <r>
      <rPr>
        <sz val="8.5"/>
        <color rgb="FFFF0000"/>
        <rFont val="Gill Sans Light"/>
      </rPr>
      <t>*LOADS TO STRUCTURE BY OTHERS. POWER PULLED</t>
    </r>
  </si>
  <si>
    <t>DOUBLE FACED ILLUMINATED MONUMENT SIGN LOCATED AT WEST</t>
  </si>
  <si>
    <t xml:space="preserve">TO LOCATION BY OTHERS </t>
  </si>
  <si>
    <t>INTERNALLY ILLUMINATED VERTICAL INDIVIDUAL LETTERS "TACARA"</t>
  </si>
  <si>
    <t>LOCATED ON NORTH ELEVATION PER PLAN SET DRAWING</t>
  </si>
  <si>
    <t>LOCATED ON SOUTH ELEVATION PER PLAN SET DRAWING</t>
  </si>
  <si>
    <t xml:space="preserve">PROJECT ID / LEASING CANOPY SIGNS -NON-ILLUMINATED, DIMENSIONAL </t>
  </si>
  <si>
    <t>LETTERS ON RAIL. LOADS TO CANOPY OVER LEASING ON NORTH ELEVATION</t>
  </si>
  <si>
    <t>#2: LEASING CENTER - EXTERIOR SIGNAGE</t>
  </si>
  <si>
    <r>
      <t xml:space="preserve">#3: LEASING CENTER - INTERIOR SIGNAGE </t>
    </r>
    <r>
      <rPr>
        <b/>
        <sz val="9"/>
        <color indexed="10"/>
        <rFont val="Gill Sans Light"/>
      </rPr>
      <t>*ADA/BRAILLE WHERE APPLICABLE</t>
    </r>
  </si>
  <si>
    <r>
      <t xml:space="preserve">#3: LEASING CENTER - INTERIOR SIGNAGE CONT. </t>
    </r>
    <r>
      <rPr>
        <b/>
        <sz val="9"/>
        <color indexed="10"/>
        <rFont val="Gill Sans Light"/>
      </rPr>
      <t>*ADA/BRAILLE WHERE APPLICABLE</t>
    </r>
  </si>
  <si>
    <t>AC ID (X1@MGR, X1@MAIL ROOM, X1@FITNESS CENTER)</t>
  </si>
  <si>
    <t>MAX OCCUPANCY (LEASE, CLUB, FITNESS,)</t>
  </si>
  <si>
    <t>STAIR / LEVEL / EXIT (STAIR #4 ROOF ACCESS)</t>
  </si>
  <si>
    <t>STAIRWELL (STAIR #4 ROOF ACCESS)</t>
  </si>
  <si>
    <t>STORAGE ID (SA1-11, S1-12, S1-13)</t>
  </si>
  <si>
    <r>
      <t xml:space="preserve">#6: BUILDING 1 - LEVEL 2 SIGNAGE CONTINUED  </t>
    </r>
    <r>
      <rPr>
        <b/>
        <sz val="9"/>
        <color indexed="10"/>
        <rFont val="Gill Sans Light"/>
      </rPr>
      <t>*ADA/BRAILLE WHERE APPLICABLE</t>
    </r>
  </si>
  <si>
    <t>MAX OCCUPANCY SIGNS (CO-WORK, CONFERENCE, BALCONY)</t>
  </si>
  <si>
    <t>STORAGE ID (S1-31)</t>
  </si>
  <si>
    <t>STORAGE ID (S1-21)</t>
  </si>
  <si>
    <t>ELEVATOR ELECTRICAL</t>
  </si>
  <si>
    <t>STORAGE ID (S1-41)</t>
  </si>
  <si>
    <t>STAIR / LEVEL / EXIT (STAIR #1 ROOF ACCESS)</t>
  </si>
  <si>
    <t>STAIRWELL (STAIR #1 ROOF ACCESS)</t>
  </si>
  <si>
    <t>This contract reflects 8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</si>
  <si>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 xml:space="preserve">CO-WORK ID </t>
  </si>
  <si>
    <t>#14 BOOK DESIGN, LAYOUT AND PRODUCTION</t>
  </si>
  <si>
    <r>
      <t xml:space="preserve">SIDE ENTRY. </t>
    </r>
    <r>
      <rPr>
        <strike/>
        <sz val="8.5"/>
        <color rgb="FFFF0000"/>
        <rFont val="Gill Sans Light"/>
      </rPr>
      <t xml:space="preserve">*LOADS TO STRUCTURE BY OTHERS. POWER PULLED </t>
    </r>
  </si>
  <si>
    <r>
      <rPr>
        <strike/>
        <sz val="8.5"/>
        <color rgb="FFFF0000"/>
        <rFont val="Gill Sans Light"/>
      </rPr>
      <t>TO LOCATION BY OTHERS</t>
    </r>
    <r>
      <rPr>
        <sz val="8.5"/>
        <color rgb="FFFF0000"/>
        <rFont val="Gill Sans Light"/>
      </rPr>
      <t xml:space="preserve">. </t>
    </r>
    <r>
      <rPr>
        <sz val="8.5"/>
        <color theme="1"/>
        <rFont val="Gill Sans Light"/>
      </rPr>
      <t>(7.22 DELETED BY CLIENT)</t>
    </r>
  </si>
  <si>
    <r>
      <t xml:space="preserve">#14: BARN / ACCESSORY BUILDING SIGNAGE </t>
    </r>
    <r>
      <rPr>
        <b/>
        <sz val="9"/>
        <color indexed="10"/>
        <rFont val="Gill Sans Light"/>
      </rPr>
      <t>*ADA/BRAILLE WHERE APPLICABLE</t>
    </r>
  </si>
  <si>
    <t>STANDARD VAN HANDICAP PARKING SIGN - LANDSCAPE MOUNT</t>
  </si>
  <si>
    <t xml:space="preserve">BEHIND SIDEWALK </t>
  </si>
  <si>
    <t>MAINTENANCE SHOP ID</t>
  </si>
  <si>
    <t xml:space="preserve">UNISEX RESTROOM (INSIDE MAINTENANCE) </t>
  </si>
  <si>
    <t>MECHANICAL ID (X1 IN B#2, X2 IN B#1, X IN B#3)</t>
  </si>
  <si>
    <t>BIKE REPAIR POLICY</t>
  </si>
  <si>
    <t xml:space="preserve">REC ROOM POLICY </t>
  </si>
  <si>
    <t>MAX OCCUPANT LOAD (REC ROOM)</t>
  </si>
  <si>
    <t>EXTERIOR SPACE POLICY</t>
  </si>
  <si>
    <t xml:space="preserve">DOG WASH POLICY </t>
  </si>
  <si>
    <t>08.01.2024 REV 1</t>
  </si>
  <si>
    <t>BIKE REPAIR ID - VINYL ID</t>
  </si>
  <si>
    <t xml:space="preserve">REC ROOM ID - VINYL ID </t>
  </si>
  <si>
    <t xml:space="preserve">DOG WASH ID - VINYL ID </t>
  </si>
  <si>
    <t>BUILDING ID (ADDRESS OR BUILDING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</si>
</sst>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color indexed="10"/>
      <name val="Gill Sans Light"/>
    </font>
    <font>
      <u/>
      <sz val="9"/>
      <name val="Gill Sans Light"/>
    </font>
    <font>
      <b/>
      <sz val="8.6999999999999993"/>
      <name val="Gill Sans Light"/>
    </font>
    <font>
      <sz val="8.5"/>
      <name val="Gill Sans Light"/>
    </font>
    <font>
      <b/>
      <sz val="8"/>
      <name val="Gill Sans Light"/>
    </font>
    <font>
      <sz val="8.5"/>
      <color theme="1"/>
      <name val="Gill Sans Light"/>
    </font>
    <font>
      <sz val="8.5"/>
      <color rgb="FFFF0000"/>
      <name val="Gill Sans Light"/>
    </font>
    <font>
      <sz val="9"/>
      <color rgb="FFFF0000"/>
      <name val="Gill Sans Light"/>
    </font>
    <font>
      <strike/>
      <sz val="8.5"/>
      <name val="Gill Sans Light"/>
    </font>
    <font>
      <strike/>
      <sz val="9"/>
      <name val="Gill Sans Light"/>
    </font>
    <font>
      <strike/>
      <sz val="8.5"/>
      <color rgb="FFFF0000"/>
      <name val="Gill Sans Light"/>
    </font>
  </fonts>
  <fills count="2">
    <fill>
      <patternFill patternType="none"/>
    </fill>
    <fill>
      <patternFill patternType="gray125"/>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81">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0" fontId="5" fillId="0" borderId="1" xfId="0" applyFont="1" applyBorder="1"/>
    <xf numFmtId="44" fontId="5" fillId="0" borderId="1" xfId="1" applyFont="1" applyBorder="1"/>
    <xf numFmtId="0" fontId="5" fillId="0" borderId="2" xfId="0"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39" fontId="5" fillId="0" borderId="0" xfId="0" applyNumberFormat="1" applyFont="1" applyAlignment="1">
      <alignment horizontal="center"/>
    </xf>
    <xf numFmtId="44" fontId="5" fillId="0" borderId="0" xfId="0" applyNumberFormat="1" applyFont="1"/>
    <xf numFmtId="44" fontId="5" fillId="0" borderId="0" xfId="1" applyFont="1" applyBorder="1"/>
    <xf numFmtId="39" fontId="5" fillId="0" borderId="0" xfId="0" applyNumberFormat="1" applyFont="1"/>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1" xfId="0" applyFont="1" applyBorder="1" applyAlignment="1">
      <alignment horizontal="center"/>
    </xf>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11" fillId="0" borderId="0" xfId="0" applyFont="1"/>
    <xf numFmtId="0" fontId="6" fillId="0" borderId="0" xfId="0" applyFont="1" applyAlignment="1">
      <alignment horizontal="left"/>
    </xf>
    <xf numFmtId="0" fontId="7" fillId="0" borderId="0" xfId="0" applyFont="1"/>
    <xf numFmtId="0" fontId="6" fillId="0" borderId="0" xfId="0" applyFont="1" applyAlignment="1">
      <alignment horizontal="center" vertical="center"/>
    </xf>
    <xf numFmtId="0" fontId="5" fillId="0" borderId="0" xfId="0" quotePrefix="1" applyFont="1" applyAlignment="1">
      <alignment horizontal="center"/>
    </xf>
    <xf numFmtId="44" fontId="5" fillId="0" borderId="0" xfId="1" applyFont="1" applyAlignment="1"/>
    <xf numFmtId="0" fontId="5" fillId="0" borderId="0" xfId="0" applyFont="1" applyAlignment="1">
      <alignment horizontal="left"/>
    </xf>
    <xf numFmtId="44" fontId="6" fillId="0" borderId="0" xfId="0" applyNumberFormat="1" applyFont="1" applyAlignment="1">
      <alignment horizontal="center" vertical="center"/>
    </xf>
    <xf numFmtId="44" fontId="5" fillId="0" borderId="0" xfId="0" applyNumberFormat="1" applyFont="1" applyAlignment="1">
      <alignment horizontal="center" vertical="center"/>
    </xf>
    <xf numFmtId="0" fontId="6" fillId="0" borderId="0" xfId="0" applyFont="1" applyAlignment="1">
      <alignment horizontal="left" vertical="center" wrapText="1"/>
    </xf>
    <xf numFmtId="0" fontId="5" fillId="0" borderId="0" xfId="0" applyFont="1" applyAlignment="1">
      <alignment horizontal="left" vertical="top" wrapText="1"/>
    </xf>
    <xf numFmtId="0" fontId="12" fillId="0" borderId="0" xfId="0" applyFont="1"/>
    <xf numFmtId="44" fontId="5" fillId="0" borderId="0" xfId="0" applyNumberFormat="1" applyFont="1" applyAlignment="1">
      <alignment horizontal="left" vertical="center"/>
    </xf>
    <xf numFmtId="0" fontId="13" fillId="0" borderId="0" xfId="0" applyFont="1"/>
    <xf numFmtId="0" fontId="6" fillId="0" borderId="0" xfId="0" applyFont="1" applyAlignment="1">
      <alignment horizontal="left" vertical="center"/>
    </xf>
    <xf numFmtId="0" fontId="14" fillId="0" borderId="0" xfId="0" applyFont="1"/>
    <xf numFmtId="0" fontId="15" fillId="0" borderId="0" xfId="0" applyFont="1" applyAlignment="1">
      <alignment vertical="top"/>
    </xf>
    <xf numFmtId="0" fontId="16" fillId="0" borderId="0" xfId="0" applyFont="1"/>
    <xf numFmtId="0" fontId="17" fillId="0" borderId="0" xfId="0" applyFont="1"/>
    <xf numFmtId="44" fontId="17" fillId="0" borderId="0" xfId="0" applyNumberFormat="1" applyFont="1" applyAlignment="1">
      <alignment horizontal="center"/>
    </xf>
    <xf numFmtId="44" fontId="17" fillId="0" borderId="0" xfId="0" applyNumberFormat="1" applyFont="1"/>
    <xf numFmtId="0" fontId="6" fillId="0" borderId="1" xfId="0" applyFont="1" applyBorder="1" applyAlignment="1">
      <alignment horizontal="left" vertical="center"/>
    </xf>
    <xf numFmtId="0" fontId="6" fillId="0" borderId="2" xfId="0" applyFont="1" applyBorder="1" applyAlignment="1">
      <alignment horizontal="left" vertical="center"/>
    </xf>
    <xf numFmtId="44" fontId="6" fillId="0" borderId="1" xfId="0" applyNumberFormat="1" applyFont="1" applyBorder="1" applyAlignment="1">
      <alignment horizontal="center" vertical="center"/>
    </xf>
    <xf numFmtId="44" fontId="6" fillId="0" borderId="2" xfId="0" applyNumberFormat="1" applyFont="1" applyBorder="1" applyAlignment="1">
      <alignment horizontal="center" vertical="center"/>
    </xf>
    <xf numFmtId="44" fontId="5" fillId="0" borderId="0" xfId="0" applyNumberFormat="1" applyFont="1" applyAlignment="1">
      <alignment horizontal="center" vertical="center"/>
    </xf>
    <xf numFmtId="44" fontId="6" fillId="0" borderId="1" xfId="1" applyFont="1" applyBorder="1" applyAlignment="1">
      <alignment horizontal="center"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44" fontId="6" fillId="0" borderId="2" xfId="1" applyFont="1" applyBorder="1" applyAlignment="1">
      <alignment horizontal="center" vertical="center"/>
    </xf>
    <xf numFmtId="0" fontId="5" fillId="0" borderId="0" xfId="0" applyFont="1" applyAlignment="1">
      <alignment horizontal="left"/>
    </xf>
    <xf numFmtId="0" fontId="9" fillId="0" borderId="0" xfId="0" applyFont="1"/>
    <xf numFmtId="0" fontId="5" fillId="0" borderId="0" xfId="0" applyFont="1" applyAlignment="1">
      <alignment horizontal="left" vertical="top" wrapText="1"/>
    </xf>
    <xf numFmtId="0" fontId="5" fillId="0" borderId="5" xfId="0" applyFont="1" applyBorder="1" applyAlignment="1">
      <alignment horizontal="left"/>
    </xf>
    <xf numFmtId="0" fontId="7" fillId="0" borderId="5" xfId="0" applyFont="1" applyBorder="1" applyAlignment="1">
      <alignment horizontal="left"/>
    </xf>
    <xf numFmtId="0" fontId="7" fillId="0" borderId="0" xfId="0" applyFont="1"/>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left" vertical="top"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44" fontId="5" fillId="0" borderId="0" xfId="0" applyNumberFormat="1" applyFont="1" applyAlignment="1">
      <alignment vertical="center"/>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9"/>
  <sheetViews>
    <sheetView tabSelected="1" view="pageLayout" topLeftCell="A224" zoomScale="120" zoomScaleNormal="80" zoomScalePageLayoutView="120" workbookViewId="0">
      <selection activeCell="I260" sqref="I260"/>
    </sheetView>
  </sheetViews>
  <sheetFormatPr baseColWidth="10" defaultColWidth="10.6640625" defaultRowHeight="13"/>
  <cols>
    <col min="1" max="1" width="3" style="1" customWidth="1"/>
    <col min="2" max="2" width="7.83203125" style="1" customWidth="1"/>
    <col min="3" max="3" width="7.6640625" style="1" customWidth="1"/>
    <col min="4" max="4" width="10.6640625" style="1"/>
    <col min="5" max="5" width="7.1640625" style="1" bestFit="1" customWidth="1"/>
    <col min="6" max="6" width="22.6640625" style="1" customWidth="1"/>
    <col min="7" max="7" width="10.5" style="1" customWidth="1"/>
    <col min="8" max="8" width="11.5" style="1" customWidth="1"/>
    <col min="9" max="9" width="10.6640625" style="1" customWidth="1"/>
    <col min="10" max="16384" width="10.6640625" style="1"/>
  </cols>
  <sheetData>
    <row r="1" spans="1:9" s="2" customFormat="1" ht="12">
      <c r="A1" s="3" t="s">
        <v>22</v>
      </c>
      <c r="B1" s="4"/>
      <c r="D1" s="3" t="s">
        <v>67</v>
      </c>
      <c r="H1" s="5"/>
    </row>
    <row r="2" spans="1:9" s="2" customFormat="1" ht="12">
      <c r="A2" s="3"/>
      <c r="B2" s="4"/>
      <c r="D2" s="3" t="s">
        <v>68</v>
      </c>
      <c r="H2" s="5"/>
    </row>
    <row r="3" spans="1:9" s="2" customFormat="1" ht="12">
      <c r="A3" s="3"/>
      <c r="B3" s="4"/>
      <c r="D3" s="3" t="s">
        <v>69</v>
      </c>
      <c r="H3" s="5"/>
    </row>
    <row r="4" spans="1:9" s="2" customFormat="1" ht="12">
      <c r="A4" s="3"/>
      <c r="B4" s="4"/>
      <c r="D4" s="3"/>
      <c r="H4" s="5"/>
    </row>
    <row r="5" spans="1:9" s="2" customFormat="1" ht="12">
      <c r="A5" s="3" t="s">
        <v>23</v>
      </c>
      <c r="B5" s="4"/>
      <c r="D5" s="3" t="s">
        <v>70</v>
      </c>
      <c r="H5" s="5"/>
    </row>
    <row r="6" spans="1:9" s="2" customFormat="1" ht="12">
      <c r="A6" s="3"/>
      <c r="B6" s="4"/>
      <c r="D6" s="3"/>
      <c r="H6" s="5"/>
    </row>
    <row r="7" spans="1:9" s="2" customFormat="1" ht="12">
      <c r="A7" s="3" t="s">
        <v>24</v>
      </c>
      <c r="B7" s="4"/>
      <c r="D7" s="3" t="s">
        <v>71</v>
      </c>
      <c r="H7" s="5"/>
    </row>
    <row r="8" spans="1:9" s="2" customFormat="1" ht="12">
      <c r="A8" s="3"/>
      <c r="B8" s="4"/>
      <c r="D8" s="3"/>
      <c r="H8" s="5"/>
    </row>
    <row r="9" spans="1:9" s="2" customFormat="1" ht="12">
      <c r="A9" s="3" t="s">
        <v>21</v>
      </c>
      <c r="B9" s="4"/>
      <c r="D9" s="3" t="s">
        <v>72</v>
      </c>
      <c r="H9" s="5"/>
    </row>
    <row r="10" spans="1:9" s="2" customFormat="1" ht="12">
      <c r="A10" s="3"/>
      <c r="B10" s="4"/>
      <c r="D10" s="3" t="s">
        <v>182</v>
      </c>
      <c r="E10" s="3"/>
      <c r="H10" s="5"/>
    </row>
    <row r="11" spans="1:9" s="2" customFormat="1" ht="12">
      <c r="A11" s="3" t="s">
        <v>6</v>
      </c>
      <c r="B11" s="4"/>
      <c r="D11" s="46" t="s">
        <v>73</v>
      </c>
      <c r="H11" s="5"/>
    </row>
    <row r="12" spans="1:9" s="2" customFormat="1" ht="12">
      <c r="A12" s="56" t="s">
        <v>5</v>
      </c>
      <c r="B12" s="56"/>
      <c r="C12" s="56"/>
      <c r="D12" s="6"/>
      <c r="E12" s="6"/>
      <c r="F12" s="6"/>
      <c r="G12" s="6"/>
      <c r="H12" s="7"/>
      <c r="I12" s="58">
        <f>SUM(I15:I29)</f>
        <v>47700</v>
      </c>
    </row>
    <row r="13" spans="1:9" s="2" customFormat="1" ht="12">
      <c r="A13" s="57"/>
      <c r="B13" s="57"/>
      <c r="C13" s="57"/>
      <c r="D13" s="8"/>
      <c r="E13" s="8"/>
      <c r="F13" s="8"/>
      <c r="G13" s="8"/>
      <c r="H13" s="9"/>
      <c r="I13" s="79"/>
    </row>
    <row r="14" spans="1:9" s="2" customFormat="1" ht="12">
      <c r="A14" s="10"/>
      <c r="B14" s="10" t="s">
        <v>7</v>
      </c>
      <c r="C14" s="11" t="s">
        <v>8</v>
      </c>
      <c r="G14" s="2" t="s">
        <v>27</v>
      </c>
      <c r="H14" s="10"/>
      <c r="I14" s="10"/>
    </row>
    <row r="15" spans="1:9" s="2" customFormat="1" ht="12">
      <c r="A15" s="41" t="s">
        <v>35</v>
      </c>
      <c r="B15" s="12">
        <v>1</v>
      </c>
      <c r="C15" s="35" t="s">
        <v>141</v>
      </c>
      <c r="D15" s="35"/>
      <c r="E15" s="35"/>
      <c r="G15" s="18">
        <v>14500</v>
      </c>
      <c r="H15" s="5"/>
      <c r="I15" s="18">
        <f>G15*B15</f>
        <v>14500</v>
      </c>
    </row>
    <row r="16" spans="1:9" s="2" customFormat="1" ht="12">
      <c r="B16" s="13"/>
      <c r="C16" s="35" t="s">
        <v>142</v>
      </c>
      <c r="D16" s="35"/>
      <c r="E16" s="35"/>
      <c r="G16" s="15"/>
      <c r="H16" s="5"/>
      <c r="I16" s="5"/>
    </row>
    <row r="17" spans="1:9" s="2" customFormat="1" ht="12">
      <c r="B17" s="13"/>
      <c r="C17" s="50" t="s">
        <v>144</v>
      </c>
      <c r="D17" s="35"/>
      <c r="E17" s="35"/>
      <c r="G17" s="15"/>
      <c r="H17" s="5"/>
      <c r="I17" s="5"/>
    </row>
    <row r="18" spans="1:9" s="2" customFormat="1" ht="12">
      <c r="A18" s="2" t="s">
        <v>36</v>
      </c>
      <c r="B18" s="13">
        <v>0</v>
      </c>
      <c r="C18" s="52" t="s">
        <v>143</v>
      </c>
      <c r="D18" s="52"/>
      <c r="E18" s="52"/>
      <c r="F18" s="53"/>
      <c r="G18" s="54">
        <v>14500</v>
      </c>
      <c r="H18" s="5"/>
      <c r="I18" s="5">
        <f>G18*B18</f>
        <v>0</v>
      </c>
    </row>
    <row r="19" spans="1:9" s="2" customFormat="1" ht="12">
      <c r="B19" s="13"/>
      <c r="C19" s="52" t="s">
        <v>169</v>
      </c>
      <c r="D19" s="52"/>
      <c r="E19" s="52"/>
      <c r="F19" s="53"/>
      <c r="G19" s="55"/>
      <c r="H19" s="5"/>
      <c r="I19" s="5"/>
    </row>
    <row r="20" spans="1:9" s="2" customFormat="1" ht="12">
      <c r="B20" s="13"/>
      <c r="C20" s="50" t="s">
        <v>170</v>
      </c>
      <c r="D20" s="35"/>
      <c r="E20" s="35"/>
      <c r="G20" s="15"/>
      <c r="H20" s="5"/>
      <c r="I20" s="5"/>
    </row>
    <row r="21" spans="1:9" s="2" customFormat="1" ht="12">
      <c r="A21" s="2" t="s">
        <v>37</v>
      </c>
      <c r="B21" s="13">
        <v>1</v>
      </c>
      <c r="C21" s="48" t="s">
        <v>145</v>
      </c>
      <c r="D21" s="35"/>
      <c r="E21" s="35"/>
      <c r="G21" s="15">
        <v>12600</v>
      </c>
      <c r="H21" s="5"/>
      <c r="I21" s="5">
        <f>G21*B21</f>
        <v>12600</v>
      </c>
    </row>
    <row r="22" spans="1:9" s="2" customFormat="1" ht="12">
      <c r="B22" s="13"/>
      <c r="C22" s="48" t="s">
        <v>146</v>
      </c>
      <c r="D22" s="35"/>
      <c r="E22" s="35"/>
      <c r="G22" s="15"/>
      <c r="H22" s="5"/>
      <c r="I22" s="5"/>
    </row>
    <row r="23" spans="1:9" s="2" customFormat="1" ht="12">
      <c r="B23" s="13"/>
      <c r="C23" s="50" t="s">
        <v>76</v>
      </c>
      <c r="D23" s="35"/>
      <c r="E23" s="35"/>
      <c r="G23" s="15"/>
      <c r="H23" s="5"/>
      <c r="I23" s="5"/>
    </row>
    <row r="24" spans="1:9" s="2" customFormat="1" ht="12">
      <c r="A24" s="2" t="s">
        <v>77</v>
      </c>
      <c r="B24" s="13">
        <v>1</v>
      </c>
      <c r="C24" s="48" t="s">
        <v>145</v>
      </c>
      <c r="D24" s="35"/>
      <c r="E24" s="35"/>
      <c r="G24" s="15">
        <v>12600</v>
      </c>
      <c r="H24" s="5"/>
      <c r="I24" s="5">
        <f>G24*B24</f>
        <v>12600</v>
      </c>
    </row>
    <row r="25" spans="1:9" s="2" customFormat="1" ht="12">
      <c r="B25" s="13"/>
      <c r="C25" s="48" t="s">
        <v>147</v>
      </c>
      <c r="D25" s="35"/>
      <c r="E25" s="35"/>
      <c r="G25" s="15"/>
      <c r="H25" s="5"/>
      <c r="I25" s="5"/>
    </row>
    <row r="26" spans="1:9" s="2" customFormat="1" ht="12">
      <c r="B26" s="13"/>
      <c r="C26" s="50" t="s">
        <v>76</v>
      </c>
      <c r="D26" s="35"/>
      <c r="E26" s="35"/>
      <c r="G26" s="15"/>
      <c r="H26" s="5"/>
      <c r="I26" s="5"/>
    </row>
    <row r="27" spans="1:9" s="2" customFormat="1" ht="12">
      <c r="A27" s="2" t="s">
        <v>39</v>
      </c>
      <c r="B27" s="13">
        <v>1</v>
      </c>
      <c r="C27" s="48" t="s">
        <v>148</v>
      </c>
      <c r="D27" s="35"/>
      <c r="E27" s="35"/>
      <c r="G27" s="15">
        <v>4400</v>
      </c>
      <c r="H27" s="5"/>
      <c r="I27" s="5">
        <f>G27*B27</f>
        <v>4400</v>
      </c>
    </row>
    <row r="28" spans="1:9" s="2" customFormat="1" ht="12">
      <c r="B28" s="13"/>
      <c r="C28" s="48" t="s">
        <v>149</v>
      </c>
      <c r="D28" s="35"/>
      <c r="E28" s="35"/>
      <c r="G28" s="15"/>
      <c r="H28" s="5"/>
      <c r="I28" s="5"/>
    </row>
    <row r="29" spans="1:9" s="2" customFormat="1" ht="12">
      <c r="A29" s="2" t="s">
        <v>43</v>
      </c>
      <c r="B29" s="13">
        <v>1</v>
      </c>
      <c r="C29" s="48" t="s">
        <v>139</v>
      </c>
      <c r="D29" s="35"/>
      <c r="E29" s="35"/>
      <c r="G29" s="15">
        <v>3600</v>
      </c>
      <c r="H29" s="5"/>
      <c r="I29" s="5">
        <f>G29*B29</f>
        <v>3600</v>
      </c>
    </row>
    <row r="30" spans="1:9" s="2" customFormat="1" ht="12">
      <c r="B30" s="14"/>
      <c r="C30" s="2" t="s">
        <v>140</v>
      </c>
      <c r="G30" s="15"/>
      <c r="H30" s="5"/>
      <c r="I30" s="16"/>
    </row>
    <row r="31" spans="1:9" s="2" customFormat="1" ht="12">
      <c r="B31" s="14"/>
      <c r="G31" s="15"/>
      <c r="H31" s="5"/>
      <c r="I31" s="16"/>
    </row>
    <row r="32" spans="1:9" s="2" customFormat="1" ht="12">
      <c r="A32" s="56" t="s">
        <v>150</v>
      </c>
      <c r="B32" s="56"/>
      <c r="C32" s="56"/>
      <c r="D32" s="56"/>
      <c r="E32" s="56"/>
      <c r="F32" s="56"/>
      <c r="G32" s="56"/>
      <c r="H32" s="56"/>
      <c r="I32" s="61">
        <f>SUM(I35:I41)</f>
        <v>5983</v>
      </c>
    </row>
    <row r="33" spans="1:9" s="2" customFormat="1" ht="12">
      <c r="A33" s="57"/>
      <c r="B33" s="57"/>
      <c r="C33" s="57"/>
      <c r="D33" s="57"/>
      <c r="E33" s="57"/>
      <c r="F33" s="57"/>
      <c r="G33" s="57"/>
      <c r="H33" s="57"/>
      <c r="I33" s="79"/>
    </row>
    <row r="34" spans="1:9" s="2" customFormat="1" ht="12">
      <c r="A34" s="36"/>
      <c r="B34" s="36"/>
      <c r="C34" s="36"/>
      <c r="D34" s="36"/>
      <c r="E34" s="37"/>
      <c r="G34" s="15"/>
      <c r="H34" s="16"/>
      <c r="I34" s="38"/>
    </row>
    <row r="35" spans="1:9" s="2" customFormat="1" ht="12">
      <c r="A35" s="2" t="s">
        <v>35</v>
      </c>
      <c r="B35" s="39">
        <v>1</v>
      </c>
      <c r="C35" s="2" t="s">
        <v>53</v>
      </c>
      <c r="G35" s="15">
        <v>610</v>
      </c>
      <c r="H35" s="5"/>
      <c r="I35" s="40">
        <f t="shared" ref="I35:I41" si="0">G35*B35</f>
        <v>610</v>
      </c>
    </row>
    <row r="36" spans="1:9" s="2" customFormat="1" ht="12">
      <c r="A36" s="2" t="s">
        <v>36</v>
      </c>
      <c r="B36" s="39">
        <v>1</v>
      </c>
      <c r="C36" s="2" t="s">
        <v>74</v>
      </c>
      <c r="G36" s="15">
        <v>595</v>
      </c>
      <c r="H36" s="5"/>
      <c r="I36" s="40">
        <f t="shared" si="0"/>
        <v>595</v>
      </c>
    </row>
    <row r="37" spans="1:9" s="2" customFormat="1" ht="12">
      <c r="A37" s="2" t="s">
        <v>37</v>
      </c>
      <c r="B37" s="39">
        <v>1</v>
      </c>
      <c r="C37" s="41" t="s">
        <v>75</v>
      </c>
      <c r="G37" s="15">
        <v>139</v>
      </c>
      <c r="H37" s="5"/>
      <c r="I37" s="40">
        <f t="shared" si="0"/>
        <v>139</v>
      </c>
    </row>
    <row r="38" spans="1:9" s="2" customFormat="1" ht="12">
      <c r="A38" s="2" t="s">
        <v>38</v>
      </c>
      <c r="B38" s="39">
        <v>1</v>
      </c>
      <c r="C38" s="2" t="s">
        <v>40</v>
      </c>
      <c r="G38" s="15">
        <v>69</v>
      </c>
      <c r="H38" s="5"/>
      <c r="I38" s="40">
        <f t="shared" si="0"/>
        <v>69</v>
      </c>
    </row>
    <row r="39" spans="1:9" s="2" customFormat="1" ht="12">
      <c r="A39" s="2" t="s">
        <v>39</v>
      </c>
      <c r="B39" s="39">
        <v>3</v>
      </c>
      <c r="C39" s="2" t="s">
        <v>54</v>
      </c>
      <c r="G39" s="15">
        <v>795</v>
      </c>
      <c r="H39" s="5"/>
      <c r="I39" s="40">
        <f t="shared" si="0"/>
        <v>2385</v>
      </c>
    </row>
    <row r="40" spans="1:9" s="2" customFormat="1" ht="12">
      <c r="A40" s="2" t="s">
        <v>43</v>
      </c>
      <c r="B40" s="39">
        <v>2</v>
      </c>
      <c r="C40" s="2" t="s">
        <v>55</v>
      </c>
      <c r="G40" s="15">
        <v>795</v>
      </c>
      <c r="H40" s="5"/>
      <c r="I40" s="40">
        <f t="shared" si="0"/>
        <v>1590</v>
      </c>
    </row>
    <row r="41" spans="1:9" s="2" customFormat="1" ht="12">
      <c r="A41" s="2" t="s">
        <v>44</v>
      </c>
      <c r="B41" s="39">
        <v>1</v>
      </c>
      <c r="C41" s="2" t="s">
        <v>66</v>
      </c>
      <c r="G41" s="15">
        <v>595</v>
      </c>
      <c r="H41" s="5"/>
      <c r="I41" s="40">
        <f t="shared" si="0"/>
        <v>595</v>
      </c>
    </row>
    <row r="42" spans="1:9" s="2" customFormat="1" ht="12">
      <c r="B42" s="10"/>
      <c r="C42" s="51" t="s">
        <v>58</v>
      </c>
      <c r="D42" s="12"/>
      <c r="E42" s="28"/>
      <c r="F42" s="12"/>
      <c r="G42" s="43"/>
      <c r="H42" s="43"/>
      <c r="I42" s="34"/>
    </row>
    <row r="43" spans="1:9" s="2" customFormat="1" ht="12">
      <c r="A43" s="11"/>
      <c r="B43" s="10"/>
      <c r="C43" s="51" t="s">
        <v>59</v>
      </c>
      <c r="D43" s="12"/>
      <c r="E43" s="28"/>
      <c r="F43" s="12"/>
      <c r="G43" s="43"/>
      <c r="H43" s="43"/>
      <c r="I43" s="34"/>
    </row>
    <row r="44" spans="1:9" s="2" customFormat="1" ht="12">
      <c r="B44" s="12"/>
      <c r="G44" s="15"/>
      <c r="H44" s="16"/>
      <c r="I44" s="40"/>
    </row>
    <row r="45" spans="1:9" s="2" customFormat="1" ht="12">
      <c r="A45" s="56" t="s">
        <v>151</v>
      </c>
      <c r="B45" s="56"/>
      <c r="C45" s="56"/>
      <c r="D45" s="56"/>
      <c r="E45" s="56"/>
      <c r="F45" s="56"/>
      <c r="G45" s="56"/>
      <c r="H45" s="56"/>
      <c r="I45" s="58">
        <f>SUM(I48:I72)</f>
        <v>2548</v>
      </c>
    </row>
    <row r="46" spans="1:9" s="2" customFormat="1" ht="12">
      <c r="A46" s="57"/>
      <c r="B46" s="57"/>
      <c r="C46" s="57"/>
      <c r="D46" s="57"/>
      <c r="E46" s="57"/>
      <c r="F46" s="57"/>
      <c r="G46" s="57"/>
      <c r="H46" s="57"/>
      <c r="I46" s="59"/>
    </row>
    <row r="47" spans="1:9" s="2" customFormat="1" ht="12">
      <c r="B47" s="17"/>
      <c r="G47" s="5"/>
      <c r="H47" s="5"/>
    </row>
    <row r="48" spans="1:9" s="2" customFormat="1" ht="12">
      <c r="A48" s="2" t="s">
        <v>35</v>
      </c>
      <c r="B48" s="39">
        <v>1</v>
      </c>
      <c r="C48" s="2" t="s">
        <v>78</v>
      </c>
      <c r="G48" s="15">
        <v>78</v>
      </c>
      <c r="H48" s="5"/>
      <c r="I48" s="40">
        <f>G48*B48</f>
        <v>78</v>
      </c>
    </row>
    <row r="49" spans="1:9" s="2" customFormat="1" ht="12">
      <c r="A49" s="2" t="s">
        <v>36</v>
      </c>
      <c r="B49" s="39">
        <v>1</v>
      </c>
      <c r="C49" s="2" t="s">
        <v>79</v>
      </c>
      <c r="G49" s="15">
        <v>78</v>
      </c>
      <c r="H49" s="5"/>
      <c r="I49" s="40">
        <f t="shared" ref="I49:I51" si="1">G49*B49</f>
        <v>78</v>
      </c>
    </row>
    <row r="50" spans="1:9" s="2" customFormat="1" ht="12">
      <c r="A50" s="2" t="s">
        <v>37</v>
      </c>
      <c r="B50" s="39">
        <v>1</v>
      </c>
      <c r="C50" s="2" t="s">
        <v>80</v>
      </c>
      <c r="G50" s="15">
        <v>78</v>
      </c>
      <c r="H50" s="5"/>
      <c r="I50" s="40">
        <f t="shared" si="1"/>
        <v>78</v>
      </c>
    </row>
    <row r="51" spans="1:9" s="2" customFormat="1" ht="12">
      <c r="A51" s="2" t="s">
        <v>38</v>
      </c>
      <c r="B51" s="12">
        <v>1</v>
      </c>
      <c r="C51" s="2" t="s">
        <v>81</v>
      </c>
      <c r="G51" s="15">
        <v>78</v>
      </c>
      <c r="I51" s="40">
        <f t="shared" si="1"/>
        <v>78</v>
      </c>
    </row>
    <row r="52" spans="1:9" s="2" customFormat="1" ht="12">
      <c r="A52" s="2" t="s">
        <v>39</v>
      </c>
      <c r="B52" s="39">
        <v>1</v>
      </c>
      <c r="C52" s="2" t="s">
        <v>82</v>
      </c>
      <c r="G52" s="15">
        <v>98</v>
      </c>
      <c r="H52" s="5"/>
      <c r="I52" s="40">
        <f>G52*B52</f>
        <v>98</v>
      </c>
    </row>
    <row r="53" spans="1:9" s="2" customFormat="1" ht="12">
      <c r="B53" s="12"/>
      <c r="G53" s="15"/>
      <c r="I53" s="40"/>
    </row>
    <row r="54" spans="1:9" s="2" customFormat="1" ht="12">
      <c r="A54" s="11" t="s">
        <v>31</v>
      </c>
      <c r="B54" s="10"/>
      <c r="C54" s="19"/>
      <c r="D54" s="12"/>
      <c r="E54" s="28" t="s">
        <v>32</v>
      </c>
      <c r="F54" s="12" t="str">
        <f>D7</f>
        <v>2404CDL01S</v>
      </c>
      <c r="G54" s="80" t="str">
        <f>D11</f>
        <v>TACARA STEUBING HEIGHTS</v>
      </c>
      <c r="H54" s="80"/>
      <c r="I54" s="34" t="s">
        <v>33</v>
      </c>
    </row>
    <row r="55" spans="1:9" s="2" customFormat="1" ht="12">
      <c r="B55" s="39"/>
      <c r="G55" s="15"/>
      <c r="H55" s="5"/>
      <c r="I55" s="40"/>
    </row>
    <row r="56" spans="1:9" s="2" customFormat="1" ht="12">
      <c r="A56" s="56" t="s">
        <v>152</v>
      </c>
      <c r="B56" s="56"/>
      <c r="C56" s="56"/>
      <c r="D56" s="56"/>
      <c r="E56" s="56"/>
      <c r="F56" s="56"/>
      <c r="G56" s="56"/>
      <c r="H56" s="56"/>
      <c r="I56" s="58"/>
    </row>
    <row r="57" spans="1:9" s="2" customFormat="1" ht="12">
      <c r="A57" s="57"/>
      <c r="B57" s="57"/>
      <c r="C57" s="57"/>
      <c r="D57" s="57"/>
      <c r="E57" s="57"/>
      <c r="F57" s="57"/>
      <c r="G57" s="57"/>
      <c r="H57" s="57"/>
      <c r="I57" s="59"/>
    </row>
    <row r="59" spans="1:9" s="2" customFormat="1" ht="12">
      <c r="A59" s="2" t="s">
        <v>43</v>
      </c>
      <c r="B59" s="12">
        <v>1</v>
      </c>
      <c r="C59" s="2" t="s">
        <v>83</v>
      </c>
      <c r="G59" s="15">
        <v>98</v>
      </c>
      <c r="I59" s="40">
        <f t="shared" ref="I59:I63" si="2">G59*B59</f>
        <v>98</v>
      </c>
    </row>
    <row r="60" spans="1:9" s="2" customFormat="1" ht="12">
      <c r="A60" s="2" t="s">
        <v>44</v>
      </c>
      <c r="B60" s="39">
        <v>1</v>
      </c>
      <c r="C60" s="2" t="s">
        <v>84</v>
      </c>
      <c r="G60" s="15">
        <v>98</v>
      </c>
      <c r="H60" s="5"/>
      <c r="I60" s="40">
        <f t="shared" si="2"/>
        <v>98</v>
      </c>
    </row>
    <row r="61" spans="1:9" s="2" customFormat="1" ht="12">
      <c r="A61" s="2" t="s">
        <v>45</v>
      </c>
      <c r="B61" s="39">
        <v>1</v>
      </c>
      <c r="C61" s="2" t="s">
        <v>85</v>
      </c>
      <c r="G61" s="15">
        <v>58</v>
      </c>
      <c r="H61" s="5"/>
      <c r="I61" s="40">
        <f t="shared" si="2"/>
        <v>58</v>
      </c>
    </row>
    <row r="62" spans="1:9" s="2" customFormat="1" ht="12">
      <c r="A62" s="2" t="s">
        <v>46</v>
      </c>
      <c r="B62" s="39">
        <v>3</v>
      </c>
      <c r="C62" s="2" t="s">
        <v>153</v>
      </c>
      <c r="G62" s="15">
        <v>48</v>
      </c>
      <c r="H62" s="5"/>
      <c r="I62" s="40">
        <f t="shared" si="2"/>
        <v>144</v>
      </c>
    </row>
    <row r="63" spans="1:9" s="2" customFormat="1" ht="12">
      <c r="A63" s="2" t="s">
        <v>47</v>
      </c>
      <c r="B63" s="39">
        <v>1</v>
      </c>
      <c r="C63" s="2" t="s">
        <v>86</v>
      </c>
      <c r="G63" s="15">
        <v>48</v>
      </c>
      <c r="H63" s="5"/>
      <c r="I63" s="40">
        <f t="shared" si="2"/>
        <v>48</v>
      </c>
    </row>
    <row r="64" spans="1:9" s="2" customFormat="1" ht="12">
      <c r="A64" s="2" t="s">
        <v>48</v>
      </c>
      <c r="B64" s="12">
        <v>1</v>
      </c>
      <c r="C64" s="2" t="s">
        <v>87</v>
      </c>
      <c r="G64" s="15">
        <v>48</v>
      </c>
      <c r="H64" s="15"/>
      <c r="I64" s="40">
        <f t="shared" ref="I64:I70" si="3">G64*B64</f>
        <v>48</v>
      </c>
    </row>
    <row r="65" spans="1:9" s="2" customFormat="1" ht="12">
      <c r="A65" s="2" t="s">
        <v>49</v>
      </c>
      <c r="B65" s="12">
        <v>2</v>
      </c>
      <c r="C65" s="2" t="s">
        <v>88</v>
      </c>
      <c r="G65" s="15">
        <v>48</v>
      </c>
      <c r="H65" s="15"/>
      <c r="I65" s="40">
        <f t="shared" si="3"/>
        <v>96</v>
      </c>
    </row>
    <row r="66" spans="1:9" s="2" customFormat="1" ht="12">
      <c r="A66" s="2" t="s">
        <v>50</v>
      </c>
      <c r="B66" s="12">
        <v>1</v>
      </c>
      <c r="C66" s="2" t="s">
        <v>89</v>
      </c>
      <c r="G66" s="15">
        <v>78</v>
      </c>
      <c r="H66" s="15"/>
      <c r="I66" s="40">
        <f t="shared" si="3"/>
        <v>78</v>
      </c>
    </row>
    <row r="67" spans="1:9" s="2" customFormat="1" ht="12">
      <c r="A67" s="2" t="s">
        <v>51</v>
      </c>
      <c r="B67" s="12">
        <v>1</v>
      </c>
      <c r="C67" s="2" t="s">
        <v>90</v>
      </c>
      <c r="G67" s="15">
        <v>415</v>
      </c>
      <c r="H67" s="15"/>
      <c r="I67" s="40">
        <f t="shared" si="3"/>
        <v>415</v>
      </c>
    </row>
    <row r="68" spans="1:9" s="2" customFormat="1" ht="12">
      <c r="A68" s="2" t="s">
        <v>57</v>
      </c>
      <c r="B68" s="12">
        <v>2</v>
      </c>
      <c r="C68" s="2" t="s">
        <v>91</v>
      </c>
      <c r="G68" s="15">
        <v>78</v>
      </c>
      <c r="H68" s="15"/>
      <c r="I68" s="40">
        <f t="shared" si="3"/>
        <v>156</v>
      </c>
    </row>
    <row r="69" spans="1:9" s="2" customFormat="1" ht="12">
      <c r="A69" s="2" t="s">
        <v>93</v>
      </c>
      <c r="B69" s="12">
        <v>1</v>
      </c>
      <c r="C69" s="2" t="s">
        <v>92</v>
      </c>
      <c r="G69" s="15">
        <v>415</v>
      </c>
      <c r="H69" s="15"/>
      <c r="I69" s="40">
        <f t="shared" si="3"/>
        <v>415</v>
      </c>
    </row>
    <row r="70" spans="1:9" s="2" customFormat="1" ht="12">
      <c r="A70" s="11" t="s">
        <v>94</v>
      </c>
      <c r="B70" s="10">
        <v>3</v>
      </c>
      <c r="C70" s="19" t="s">
        <v>154</v>
      </c>
      <c r="D70" s="12"/>
      <c r="E70" s="28"/>
      <c r="F70" s="12"/>
      <c r="G70" s="47">
        <v>58</v>
      </c>
      <c r="H70" s="47"/>
      <c r="I70" s="40">
        <f t="shared" si="3"/>
        <v>174</v>
      </c>
    </row>
    <row r="71" spans="1:9" s="2" customFormat="1" ht="12">
      <c r="A71" s="11" t="s">
        <v>95</v>
      </c>
      <c r="B71" s="10">
        <v>1</v>
      </c>
      <c r="C71" s="19" t="s">
        <v>110</v>
      </c>
      <c r="D71" s="12"/>
      <c r="E71" s="28"/>
      <c r="F71" s="12"/>
      <c r="G71" s="43">
        <v>155</v>
      </c>
      <c r="H71" s="43"/>
      <c r="I71" s="40">
        <f>G71*B71</f>
        <v>155</v>
      </c>
    </row>
    <row r="72" spans="1:9" s="2" customFormat="1" ht="12">
      <c r="A72" s="11" t="s">
        <v>96</v>
      </c>
      <c r="B72" s="10">
        <v>1</v>
      </c>
      <c r="C72" s="19" t="s">
        <v>111</v>
      </c>
      <c r="D72" s="12"/>
      <c r="E72" s="28"/>
      <c r="F72" s="12"/>
      <c r="G72" s="43">
        <v>155</v>
      </c>
      <c r="H72" s="43"/>
      <c r="I72" s="40">
        <f>G72*B72</f>
        <v>155</v>
      </c>
    </row>
    <row r="73" spans="1:9" s="2" customFormat="1" ht="12">
      <c r="A73" s="11"/>
      <c r="B73" s="10"/>
      <c r="C73" s="19"/>
      <c r="D73" s="12"/>
      <c r="E73" s="28"/>
      <c r="F73" s="12"/>
      <c r="G73" s="43"/>
      <c r="H73" s="43"/>
      <c r="I73" s="34"/>
    </row>
    <row r="74" spans="1:9" s="2" customFormat="1" ht="12">
      <c r="A74" s="56" t="s">
        <v>60</v>
      </c>
      <c r="B74" s="56"/>
      <c r="C74" s="56"/>
      <c r="D74" s="56"/>
      <c r="E74" s="56"/>
      <c r="F74" s="56"/>
      <c r="G74" s="56"/>
      <c r="H74" s="56"/>
      <c r="I74" s="58">
        <f>SUM(I77:I78)</f>
        <v>670</v>
      </c>
    </row>
    <row r="75" spans="1:9" s="2" customFormat="1" ht="12">
      <c r="A75" s="57"/>
      <c r="B75" s="57"/>
      <c r="C75" s="57"/>
      <c r="D75" s="57"/>
      <c r="E75" s="57"/>
      <c r="F75" s="57"/>
      <c r="G75" s="57"/>
      <c r="H75" s="57"/>
      <c r="I75" s="59"/>
    </row>
    <row r="76" spans="1:9" s="2" customFormat="1" ht="12">
      <c r="A76" s="11"/>
      <c r="B76" s="10"/>
      <c r="C76" s="19"/>
      <c r="D76" s="12"/>
      <c r="E76" s="28"/>
      <c r="F76" s="12"/>
      <c r="G76" s="43"/>
      <c r="H76" s="43"/>
      <c r="I76" s="34"/>
    </row>
    <row r="77" spans="1:9" s="2" customFormat="1" ht="12">
      <c r="A77" s="11" t="s">
        <v>35</v>
      </c>
      <c r="B77" s="10">
        <v>1</v>
      </c>
      <c r="C77" s="19" t="s">
        <v>101</v>
      </c>
      <c r="D77" s="12"/>
      <c r="E77" s="28"/>
      <c r="F77" s="12"/>
      <c r="G77" s="43">
        <v>335</v>
      </c>
      <c r="H77" s="43"/>
      <c r="I77" s="40">
        <f t="shared" ref="I77:I78" si="4">G77*B77</f>
        <v>335</v>
      </c>
    </row>
    <row r="78" spans="1:9" s="2" customFormat="1" ht="12">
      <c r="A78" s="11" t="s">
        <v>36</v>
      </c>
      <c r="B78" s="10">
        <v>1</v>
      </c>
      <c r="C78" s="19" t="s">
        <v>102</v>
      </c>
      <c r="D78" s="12"/>
      <c r="E78" s="28"/>
      <c r="F78" s="12"/>
      <c r="G78" s="43">
        <v>335</v>
      </c>
      <c r="H78" s="43"/>
      <c r="I78" s="40">
        <f t="shared" si="4"/>
        <v>335</v>
      </c>
    </row>
    <row r="79" spans="1:9" s="2" customFormat="1" ht="12">
      <c r="A79" s="11"/>
      <c r="B79" s="10"/>
      <c r="C79" s="19"/>
      <c r="D79" s="12"/>
      <c r="E79" s="28"/>
      <c r="F79" s="12"/>
      <c r="G79" s="43"/>
      <c r="H79" s="43"/>
      <c r="I79" s="34"/>
    </row>
    <row r="80" spans="1:9" s="2" customFormat="1" ht="12">
      <c r="A80" s="56" t="s">
        <v>103</v>
      </c>
      <c r="B80" s="56"/>
      <c r="C80" s="56"/>
      <c r="D80" s="56"/>
      <c r="E80" s="56"/>
      <c r="F80" s="56"/>
      <c r="G80" s="56"/>
      <c r="H80" s="56"/>
      <c r="I80" s="58">
        <f>SUM(I83:I93)</f>
        <v>7529</v>
      </c>
    </row>
    <row r="81" spans="1:9" s="2" customFormat="1" ht="12">
      <c r="A81" s="57"/>
      <c r="B81" s="57"/>
      <c r="C81" s="57"/>
      <c r="D81" s="57"/>
      <c r="E81" s="57"/>
      <c r="F81" s="57"/>
      <c r="G81" s="57"/>
      <c r="H81" s="57"/>
      <c r="I81" s="59"/>
    </row>
    <row r="82" spans="1:9" s="2" customFormat="1" ht="12">
      <c r="A82" s="11"/>
      <c r="B82" s="10"/>
      <c r="C82" s="19"/>
      <c r="D82" s="12"/>
      <c r="E82" s="28"/>
      <c r="F82" s="12"/>
      <c r="G82" s="43"/>
      <c r="H82" s="43"/>
      <c r="I82" s="34"/>
    </row>
    <row r="83" spans="1:9" s="2" customFormat="1" ht="12">
      <c r="A83" s="11" t="s">
        <v>35</v>
      </c>
      <c r="B83" s="10">
        <v>7</v>
      </c>
      <c r="C83" s="19" t="s">
        <v>104</v>
      </c>
      <c r="D83" s="12"/>
      <c r="E83" s="28"/>
      <c r="F83" s="12"/>
      <c r="G83" s="43">
        <v>310</v>
      </c>
      <c r="H83" s="43"/>
      <c r="I83" s="40">
        <f t="shared" ref="I83:I93" si="5">G83*B83</f>
        <v>2170</v>
      </c>
    </row>
    <row r="84" spans="1:9" s="2" customFormat="1" ht="12">
      <c r="A84" s="11" t="s">
        <v>36</v>
      </c>
      <c r="B84" s="10">
        <v>3</v>
      </c>
      <c r="C84" s="19" t="s">
        <v>105</v>
      </c>
      <c r="D84" s="12"/>
      <c r="E84" s="28"/>
      <c r="F84" s="12"/>
      <c r="G84" s="43">
        <v>58</v>
      </c>
      <c r="H84" s="43"/>
      <c r="I84" s="40">
        <f t="shared" si="5"/>
        <v>174</v>
      </c>
    </row>
    <row r="85" spans="1:9" s="2" customFormat="1" ht="12">
      <c r="A85" s="11" t="s">
        <v>37</v>
      </c>
      <c r="B85" s="10">
        <v>2</v>
      </c>
      <c r="C85" s="19" t="s">
        <v>106</v>
      </c>
      <c r="D85" s="12"/>
      <c r="E85" s="28"/>
      <c r="F85" s="12"/>
      <c r="G85" s="43">
        <v>58</v>
      </c>
      <c r="H85" s="43"/>
      <c r="I85" s="40">
        <f t="shared" si="5"/>
        <v>116</v>
      </c>
    </row>
    <row r="86" spans="1:9" s="2" customFormat="1" ht="12">
      <c r="A86" s="11" t="s">
        <v>38</v>
      </c>
      <c r="B86" s="10">
        <v>5</v>
      </c>
      <c r="C86" s="19" t="s">
        <v>107</v>
      </c>
      <c r="D86" s="12"/>
      <c r="E86" s="28"/>
      <c r="F86" s="12"/>
      <c r="G86" s="43">
        <v>135</v>
      </c>
      <c r="H86" s="43"/>
      <c r="I86" s="40">
        <f t="shared" si="5"/>
        <v>675</v>
      </c>
    </row>
    <row r="87" spans="1:9" s="2" customFormat="1" ht="12">
      <c r="A87" s="11" t="s">
        <v>39</v>
      </c>
      <c r="B87" s="10">
        <v>49</v>
      </c>
      <c r="C87" s="19" t="s">
        <v>108</v>
      </c>
      <c r="D87" s="12"/>
      <c r="E87" s="28"/>
      <c r="F87" s="12"/>
      <c r="G87" s="43">
        <v>52</v>
      </c>
      <c r="H87" s="43"/>
      <c r="I87" s="40">
        <f t="shared" si="5"/>
        <v>2548</v>
      </c>
    </row>
    <row r="88" spans="1:9" s="2" customFormat="1" ht="12">
      <c r="A88" s="11" t="s">
        <v>43</v>
      </c>
      <c r="B88" s="10">
        <v>4</v>
      </c>
      <c r="C88" s="19" t="s">
        <v>155</v>
      </c>
      <c r="D88" s="12"/>
      <c r="E88" s="28"/>
      <c r="F88" s="12"/>
      <c r="G88" s="43">
        <v>58</v>
      </c>
      <c r="H88" s="43"/>
      <c r="I88" s="40">
        <f t="shared" si="5"/>
        <v>232</v>
      </c>
    </row>
    <row r="89" spans="1:9" s="2" customFormat="1" ht="12">
      <c r="A89" s="11" t="s">
        <v>44</v>
      </c>
      <c r="B89" s="10">
        <v>4</v>
      </c>
      <c r="C89" s="19" t="s">
        <v>156</v>
      </c>
      <c r="D89" s="12"/>
      <c r="E89" s="28"/>
      <c r="F89" s="12"/>
      <c r="G89" s="43">
        <v>175</v>
      </c>
      <c r="H89" s="43"/>
      <c r="I89" s="40">
        <f t="shared" si="5"/>
        <v>700</v>
      </c>
    </row>
    <row r="90" spans="1:9" s="2" customFormat="1" ht="12">
      <c r="A90" s="11" t="s">
        <v>45</v>
      </c>
      <c r="B90" s="10">
        <v>2</v>
      </c>
      <c r="C90" s="19" t="s">
        <v>109</v>
      </c>
      <c r="D90" s="12"/>
      <c r="E90" s="28"/>
      <c r="F90" s="12"/>
      <c r="G90" s="43">
        <v>245</v>
      </c>
      <c r="H90" s="43"/>
      <c r="I90" s="40">
        <f t="shared" si="5"/>
        <v>490</v>
      </c>
    </row>
    <row r="91" spans="1:9" s="2" customFormat="1" ht="12">
      <c r="A91" s="11" t="s">
        <v>46</v>
      </c>
      <c r="B91" s="10">
        <v>3</v>
      </c>
      <c r="C91" s="19" t="s">
        <v>157</v>
      </c>
      <c r="D91" s="12"/>
      <c r="E91" s="28"/>
      <c r="F91" s="12"/>
      <c r="G91" s="43">
        <v>48</v>
      </c>
      <c r="H91" s="43"/>
      <c r="I91" s="40">
        <f t="shared" si="5"/>
        <v>144</v>
      </c>
    </row>
    <row r="92" spans="1:9" s="2" customFormat="1" ht="12">
      <c r="A92" s="11" t="s">
        <v>47</v>
      </c>
      <c r="B92" s="10">
        <v>1</v>
      </c>
      <c r="C92" s="19" t="s">
        <v>86</v>
      </c>
      <c r="D92" s="12"/>
      <c r="E92" s="28"/>
      <c r="F92" s="12"/>
      <c r="G92" s="43">
        <v>48</v>
      </c>
      <c r="H92" s="43"/>
      <c r="I92" s="40">
        <f t="shared" si="5"/>
        <v>48</v>
      </c>
    </row>
    <row r="93" spans="1:9" s="2" customFormat="1" ht="12">
      <c r="A93" s="11" t="s">
        <v>48</v>
      </c>
      <c r="B93" s="10">
        <v>4</v>
      </c>
      <c r="C93" s="19" t="s">
        <v>116</v>
      </c>
      <c r="D93" s="12"/>
      <c r="E93" s="28"/>
      <c r="F93" s="12"/>
      <c r="G93" s="43">
        <v>58</v>
      </c>
      <c r="H93" s="43"/>
      <c r="I93" s="40">
        <f t="shared" si="5"/>
        <v>232</v>
      </c>
    </row>
    <row r="94" spans="1:9" s="2" customFormat="1" ht="12"/>
    <row r="95" spans="1:9" s="2" customFormat="1" ht="12">
      <c r="A95" s="56" t="s">
        <v>112</v>
      </c>
      <c r="B95" s="56"/>
      <c r="C95" s="56"/>
      <c r="D95" s="56"/>
      <c r="E95" s="56"/>
      <c r="F95" s="56"/>
      <c r="G95" s="56"/>
      <c r="H95" s="56"/>
      <c r="I95" s="58">
        <f>SUM(I98:I117)</f>
        <v>6035</v>
      </c>
    </row>
    <row r="96" spans="1:9" s="2" customFormat="1" ht="12">
      <c r="A96" s="57"/>
      <c r="B96" s="57"/>
      <c r="C96" s="57"/>
      <c r="D96" s="57"/>
      <c r="E96" s="57"/>
      <c r="F96" s="57"/>
      <c r="G96" s="57"/>
      <c r="H96" s="57"/>
      <c r="I96" s="59"/>
    </row>
    <row r="97" spans="1:9" s="2" customFormat="1" ht="12">
      <c r="A97" s="11"/>
      <c r="B97" s="10"/>
      <c r="C97" s="19"/>
      <c r="D97" s="12"/>
      <c r="E97" s="28"/>
      <c r="F97" s="12"/>
      <c r="G97" s="43"/>
      <c r="H97" s="43"/>
      <c r="I97" s="34"/>
    </row>
    <row r="98" spans="1:9" s="2" customFormat="1" ht="12">
      <c r="A98" s="11" t="s">
        <v>35</v>
      </c>
      <c r="B98" s="10">
        <v>54</v>
      </c>
      <c r="C98" s="19" t="s">
        <v>113</v>
      </c>
      <c r="D98" s="12"/>
      <c r="E98" s="28"/>
      <c r="F98" s="12"/>
      <c r="G98" s="43">
        <v>52</v>
      </c>
      <c r="H98" s="43"/>
      <c r="I98" s="40">
        <f t="shared" ref="I98:I100" si="6">G98*B98</f>
        <v>2808</v>
      </c>
    </row>
    <row r="99" spans="1:9" s="2" customFormat="1" ht="12">
      <c r="A99" s="11" t="s">
        <v>36</v>
      </c>
      <c r="B99" s="10">
        <v>4</v>
      </c>
      <c r="C99" s="19" t="s">
        <v>114</v>
      </c>
      <c r="D99" s="12"/>
      <c r="E99" s="28"/>
      <c r="F99" s="12"/>
      <c r="G99" s="43">
        <v>135</v>
      </c>
      <c r="H99" s="43"/>
      <c r="I99" s="40">
        <f t="shared" si="6"/>
        <v>540</v>
      </c>
    </row>
    <row r="100" spans="1:9" s="2" customFormat="1" ht="12">
      <c r="A100" s="11" t="s">
        <v>37</v>
      </c>
      <c r="B100" s="10">
        <v>4</v>
      </c>
      <c r="C100" s="19" t="s">
        <v>155</v>
      </c>
      <c r="D100" s="12"/>
      <c r="E100" s="28"/>
      <c r="F100" s="12"/>
      <c r="G100" s="43">
        <v>58</v>
      </c>
      <c r="H100" s="43"/>
      <c r="I100" s="40">
        <f t="shared" si="6"/>
        <v>232</v>
      </c>
    </row>
    <row r="101" spans="1:9" s="2" customFormat="1" ht="12">
      <c r="A101" s="11" t="s">
        <v>38</v>
      </c>
      <c r="B101" s="10">
        <v>4</v>
      </c>
      <c r="C101" s="19" t="s">
        <v>156</v>
      </c>
      <c r="D101" s="12"/>
      <c r="E101" s="28"/>
      <c r="F101" s="12"/>
      <c r="G101" s="43">
        <v>175</v>
      </c>
      <c r="H101" s="43"/>
      <c r="I101" s="40">
        <f>G101*B101</f>
        <v>700</v>
      </c>
    </row>
    <row r="102" spans="1:9" s="2" customFormat="1" ht="12">
      <c r="A102" s="11" t="s">
        <v>39</v>
      </c>
      <c r="B102" s="10">
        <v>2</v>
      </c>
      <c r="C102" s="19" t="s">
        <v>109</v>
      </c>
      <c r="D102" s="12"/>
      <c r="E102" s="28"/>
      <c r="F102" s="12"/>
      <c r="G102" s="43">
        <v>245</v>
      </c>
      <c r="H102" s="43"/>
      <c r="I102" s="40">
        <f>G102*B102</f>
        <v>490</v>
      </c>
    </row>
    <row r="103" spans="1:9" s="2" customFormat="1" ht="12">
      <c r="A103" s="11" t="s">
        <v>43</v>
      </c>
      <c r="B103" s="10">
        <v>2</v>
      </c>
      <c r="C103" s="19" t="s">
        <v>115</v>
      </c>
      <c r="D103" s="12"/>
      <c r="E103" s="28"/>
      <c r="F103" s="12"/>
      <c r="G103" s="43">
        <v>48</v>
      </c>
      <c r="H103" s="43"/>
      <c r="I103" s="40">
        <f>G103*B103</f>
        <v>96</v>
      </c>
    </row>
    <row r="104" spans="1:9" s="2" customFormat="1" ht="12">
      <c r="A104" s="11" t="s">
        <v>44</v>
      </c>
      <c r="B104" s="10">
        <v>1</v>
      </c>
      <c r="C104" s="19" t="s">
        <v>161</v>
      </c>
      <c r="D104" s="12"/>
      <c r="E104" s="28"/>
      <c r="F104" s="12"/>
      <c r="G104" s="43">
        <v>48</v>
      </c>
      <c r="H104" s="43"/>
      <c r="I104" s="40">
        <f t="shared" ref="I104:I114" si="7">G104*B104</f>
        <v>48</v>
      </c>
    </row>
    <row r="105" spans="1:9" s="2" customFormat="1" ht="12">
      <c r="A105" s="11" t="s">
        <v>45</v>
      </c>
      <c r="B105" s="10">
        <v>1</v>
      </c>
      <c r="C105" s="19" t="s">
        <v>167</v>
      </c>
      <c r="D105" s="12"/>
      <c r="E105" s="28"/>
      <c r="F105" s="12"/>
      <c r="G105" s="47">
        <v>78</v>
      </c>
      <c r="H105" s="47"/>
      <c r="I105" s="40">
        <f>G105*B105</f>
        <v>78</v>
      </c>
    </row>
    <row r="106" spans="1:9" s="2" customFormat="1" ht="12"/>
    <row r="107" spans="1:9" s="2" customFormat="1" ht="12">
      <c r="A107" s="11" t="s">
        <v>31</v>
      </c>
      <c r="B107" s="10"/>
      <c r="C107" s="19"/>
      <c r="D107" s="12"/>
      <c r="E107" s="28" t="s">
        <v>32</v>
      </c>
      <c r="F107" s="12" t="str">
        <f>D7</f>
        <v>2404CDL01S</v>
      </c>
      <c r="G107" s="60" t="str">
        <f>D11</f>
        <v>TACARA STEUBING HEIGHTS</v>
      </c>
      <c r="H107" s="60"/>
      <c r="I107" s="34" t="s">
        <v>56</v>
      </c>
    </row>
    <row r="108" spans="1:9" s="2" customFormat="1" ht="12">
      <c r="A108" s="11"/>
      <c r="B108" s="10"/>
      <c r="C108" s="19"/>
      <c r="D108" s="12"/>
      <c r="E108" s="28"/>
      <c r="F108" s="12"/>
      <c r="G108" s="47"/>
      <c r="H108" s="47"/>
      <c r="I108" s="40"/>
    </row>
    <row r="109" spans="1:9" s="2" customFormat="1" ht="12">
      <c r="A109" s="56" t="s">
        <v>158</v>
      </c>
      <c r="B109" s="56"/>
      <c r="C109" s="56"/>
      <c r="D109" s="56"/>
      <c r="E109" s="56"/>
      <c r="F109" s="56"/>
      <c r="G109" s="56"/>
      <c r="H109" s="56"/>
      <c r="I109" s="58">
        <v>0</v>
      </c>
    </row>
    <row r="110" spans="1:9" s="2" customFormat="1" ht="12">
      <c r="A110" s="57"/>
      <c r="B110" s="57"/>
      <c r="C110" s="57"/>
      <c r="D110" s="57"/>
      <c r="E110" s="57"/>
      <c r="F110" s="57"/>
      <c r="G110" s="57"/>
      <c r="H110" s="57"/>
      <c r="I110" s="59"/>
    </row>
    <row r="111" spans="1:9" s="2" customFormat="1" ht="12">
      <c r="A111" s="11"/>
      <c r="B111" s="10"/>
      <c r="C111" s="19"/>
      <c r="D111" s="12"/>
      <c r="E111" s="28"/>
      <c r="F111" s="12"/>
      <c r="G111" s="47"/>
      <c r="H111" s="47"/>
      <c r="I111" s="40"/>
    </row>
    <row r="112" spans="1:9" s="2" customFormat="1" ht="12">
      <c r="A112" s="11" t="s">
        <v>46</v>
      </c>
      <c r="B112" s="10">
        <v>1</v>
      </c>
      <c r="C112" s="19" t="s">
        <v>98</v>
      </c>
      <c r="D112" s="12"/>
      <c r="E112" s="28"/>
      <c r="F112" s="12"/>
      <c r="G112" s="47">
        <v>415</v>
      </c>
      <c r="H112" s="47"/>
      <c r="I112" s="40">
        <f t="shared" si="7"/>
        <v>415</v>
      </c>
    </row>
    <row r="113" spans="1:9" s="2" customFormat="1" ht="12">
      <c r="A113" s="11" t="s">
        <v>47</v>
      </c>
      <c r="B113" s="10">
        <v>2</v>
      </c>
      <c r="C113" s="19" t="s">
        <v>99</v>
      </c>
      <c r="D113" s="12"/>
      <c r="E113" s="28"/>
      <c r="F113" s="12"/>
      <c r="G113" s="47">
        <v>58</v>
      </c>
      <c r="H113" s="47"/>
      <c r="I113" s="40">
        <f t="shared" si="7"/>
        <v>116</v>
      </c>
    </row>
    <row r="114" spans="1:9" s="2" customFormat="1" ht="12">
      <c r="A114" s="11" t="s">
        <v>48</v>
      </c>
      <c r="B114" s="10">
        <v>1</v>
      </c>
      <c r="C114" s="19" t="s">
        <v>100</v>
      </c>
      <c r="D114" s="12"/>
      <c r="E114" s="28"/>
      <c r="F114" s="12"/>
      <c r="G114" s="47">
        <v>58</v>
      </c>
      <c r="H114" s="47"/>
      <c r="I114" s="40">
        <f t="shared" si="7"/>
        <v>58</v>
      </c>
    </row>
    <row r="115" spans="1:9" s="2" customFormat="1" ht="12">
      <c r="A115" s="11" t="s">
        <v>49</v>
      </c>
      <c r="B115" s="10">
        <v>1</v>
      </c>
      <c r="C115" s="19" t="s">
        <v>122</v>
      </c>
      <c r="D115" s="12"/>
      <c r="E115" s="28"/>
      <c r="F115" s="12"/>
      <c r="G115" s="47">
        <v>48</v>
      </c>
      <c r="H115" s="47"/>
      <c r="I115" s="40">
        <f>G115*B115</f>
        <v>48</v>
      </c>
    </row>
    <row r="116" spans="1:9" s="2" customFormat="1" ht="12">
      <c r="A116" s="11" t="s">
        <v>50</v>
      </c>
      <c r="B116" s="10">
        <v>3</v>
      </c>
      <c r="C116" s="19" t="s">
        <v>159</v>
      </c>
      <c r="D116" s="12"/>
      <c r="E116" s="28"/>
      <c r="F116" s="12"/>
      <c r="G116" s="47">
        <v>58</v>
      </c>
      <c r="H116" s="47"/>
      <c r="I116" s="40">
        <f>G116*B116</f>
        <v>174</v>
      </c>
    </row>
    <row r="117" spans="1:9" s="2" customFormat="1" ht="12">
      <c r="A117" s="11" t="s">
        <v>51</v>
      </c>
      <c r="B117" s="10">
        <v>4</v>
      </c>
      <c r="C117" s="19" t="s">
        <v>116</v>
      </c>
      <c r="D117" s="12"/>
      <c r="E117" s="28"/>
      <c r="F117" s="12"/>
      <c r="G117" s="43">
        <v>58</v>
      </c>
      <c r="H117" s="43"/>
      <c r="I117" s="40">
        <f>G117*B117</f>
        <v>232</v>
      </c>
    </row>
    <row r="118" spans="1:9" s="2" customFormat="1" ht="12">
      <c r="A118" s="11"/>
      <c r="B118" s="10"/>
      <c r="C118" s="19"/>
      <c r="D118" s="12"/>
      <c r="E118" s="28"/>
      <c r="F118" s="12"/>
      <c r="G118" s="43"/>
      <c r="H118" s="43"/>
      <c r="I118" s="40"/>
    </row>
    <row r="119" spans="1:9" s="2" customFormat="1" ht="12">
      <c r="A119" s="56" t="s">
        <v>117</v>
      </c>
      <c r="B119" s="56"/>
      <c r="C119" s="56"/>
      <c r="D119" s="56"/>
      <c r="E119" s="56"/>
      <c r="F119" s="56"/>
      <c r="G119" s="56"/>
      <c r="H119" s="56"/>
      <c r="I119" s="58">
        <f>SUM(I122:I129)</f>
        <v>5250</v>
      </c>
    </row>
    <row r="120" spans="1:9" s="2" customFormat="1" ht="12">
      <c r="A120" s="57"/>
      <c r="B120" s="57"/>
      <c r="C120" s="57"/>
      <c r="D120" s="57"/>
      <c r="E120" s="57"/>
      <c r="F120" s="57"/>
      <c r="G120" s="57"/>
      <c r="H120" s="57"/>
      <c r="I120" s="59"/>
    </row>
    <row r="121" spans="1:9" s="2" customFormat="1" ht="12">
      <c r="A121" s="11"/>
      <c r="B121" s="10"/>
      <c r="C121" s="19"/>
      <c r="D121" s="12"/>
      <c r="E121" s="28"/>
      <c r="F121" s="12"/>
      <c r="G121" s="43"/>
      <c r="H121" s="43"/>
      <c r="I121" s="40"/>
    </row>
    <row r="122" spans="1:9" s="2" customFormat="1" ht="12">
      <c r="A122" s="11" t="s">
        <v>35</v>
      </c>
      <c r="B122" s="10">
        <v>56</v>
      </c>
      <c r="C122" s="19" t="s">
        <v>113</v>
      </c>
      <c r="D122" s="12"/>
      <c r="E122" s="28"/>
      <c r="F122" s="12"/>
      <c r="G122" s="43">
        <v>52</v>
      </c>
      <c r="H122" s="43"/>
      <c r="I122" s="40">
        <f t="shared" ref="I122:I129" si="8">G122*B122</f>
        <v>2912</v>
      </c>
    </row>
    <row r="123" spans="1:9" s="2" customFormat="1" ht="12">
      <c r="A123" s="11" t="s">
        <v>36</v>
      </c>
      <c r="B123" s="10">
        <v>4</v>
      </c>
      <c r="C123" s="19" t="s">
        <v>114</v>
      </c>
      <c r="D123" s="12"/>
      <c r="E123" s="28"/>
      <c r="F123" s="12"/>
      <c r="G123" s="43">
        <v>135</v>
      </c>
      <c r="H123" s="43"/>
      <c r="I123" s="40">
        <f t="shared" si="8"/>
        <v>540</v>
      </c>
    </row>
    <row r="124" spans="1:9" s="2" customFormat="1" ht="12">
      <c r="A124" s="11" t="s">
        <v>37</v>
      </c>
      <c r="B124" s="10">
        <v>4</v>
      </c>
      <c r="C124" s="19" t="s">
        <v>155</v>
      </c>
      <c r="D124" s="12"/>
      <c r="E124" s="28"/>
      <c r="F124" s="12"/>
      <c r="G124" s="43">
        <v>58</v>
      </c>
      <c r="H124" s="43"/>
      <c r="I124" s="40">
        <f t="shared" si="8"/>
        <v>232</v>
      </c>
    </row>
    <row r="125" spans="1:9" s="2" customFormat="1" ht="12">
      <c r="A125" s="11" t="s">
        <v>38</v>
      </c>
      <c r="B125" s="10">
        <v>4</v>
      </c>
      <c r="C125" s="19" t="s">
        <v>156</v>
      </c>
      <c r="D125" s="12"/>
      <c r="E125" s="28"/>
      <c r="F125" s="12"/>
      <c r="G125" s="43">
        <v>175</v>
      </c>
      <c r="H125" s="43"/>
      <c r="I125" s="40">
        <f t="shared" si="8"/>
        <v>700</v>
      </c>
    </row>
    <row r="126" spans="1:9" s="2" customFormat="1" ht="12">
      <c r="A126" s="11" t="s">
        <v>39</v>
      </c>
      <c r="B126" s="10">
        <v>2</v>
      </c>
      <c r="C126" s="19" t="s">
        <v>109</v>
      </c>
      <c r="D126" s="12"/>
      <c r="E126" s="28"/>
      <c r="F126" s="12"/>
      <c r="G126" s="43">
        <v>245</v>
      </c>
      <c r="H126" s="43"/>
      <c r="I126" s="40">
        <f t="shared" si="8"/>
        <v>490</v>
      </c>
    </row>
    <row r="127" spans="1:9" s="2" customFormat="1" ht="12">
      <c r="A127" s="11" t="s">
        <v>43</v>
      </c>
      <c r="B127" s="10">
        <v>2</v>
      </c>
      <c r="C127" s="19" t="s">
        <v>115</v>
      </c>
      <c r="D127" s="12"/>
      <c r="E127" s="28"/>
      <c r="F127" s="12"/>
      <c r="G127" s="43">
        <v>48</v>
      </c>
      <c r="H127" s="43"/>
      <c r="I127" s="40">
        <f t="shared" si="8"/>
        <v>96</v>
      </c>
    </row>
    <row r="128" spans="1:9" s="2" customFormat="1" ht="12">
      <c r="A128" s="11" t="s">
        <v>44</v>
      </c>
      <c r="B128" s="10">
        <v>1</v>
      </c>
      <c r="C128" s="19" t="s">
        <v>160</v>
      </c>
      <c r="D128" s="12"/>
      <c r="E128" s="28"/>
      <c r="F128" s="12"/>
      <c r="G128" s="43">
        <v>48</v>
      </c>
      <c r="H128" s="43"/>
      <c r="I128" s="40">
        <f t="shared" si="8"/>
        <v>48</v>
      </c>
    </row>
    <row r="129" spans="1:9" s="2" customFormat="1" ht="12">
      <c r="A129" s="11" t="s">
        <v>45</v>
      </c>
      <c r="B129" s="10">
        <v>4</v>
      </c>
      <c r="C129" s="19" t="s">
        <v>116</v>
      </c>
      <c r="D129" s="12"/>
      <c r="E129" s="28"/>
      <c r="F129" s="12"/>
      <c r="G129" s="43">
        <v>58</v>
      </c>
      <c r="H129" s="43"/>
      <c r="I129" s="40">
        <f t="shared" si="8"/>
        <v>232</v>
      </c>
    </row>
    <row r="130" spans="1:9" s="2" customFormat="1" ht="12">
      <c r="B130" s="10"/>
      <c r="C130" s="19"/>
      <c r="D130" s="12"/>
      <c r="E130" s="28"/>
      <c r="F130" s="12"/>
      <c r="G130" s="43"/>
      <c r="H130" s="43"/>
      <c r="I130" s="40"/>
    </row>
    <row r="131" spans="1:9" s="2" customFormat="1" ht="12">
      <c r="A131" s="56" t="s">
        <v>118</v>
      </c>
      <c r="B131" s="56"/>
      <c r="C131" s="56"/>
      <c r="D131" s="56"/>
      <c r="E131" s="56"/>
      <c r="F131" s="56"/>
      <c r="G131" s="56"/>
      <c r="H131" s="56"/>
      <c r="I131" s="58">
        <f>SUM(I134:I147)</f>
        <v>6155</v>
      </c>
    </row>
    <row r="132" spans="1:9" s="2" customFormat="1" ht="12">
      <c r="A132" s="57"/>
      <c r="B132" s="57"/>
      <c r="C132" s="57"/>
      <c r="D132" s="57"/>
      <c r="E132" s="57"/>
      <c r="F132" s="57"/>
      <c r="G132" s="57"/>
      <c r="H132" s="57"/>
      <c r="I132" s="59"/>
    </row>
    <row r="133" spans="1:9" s="2" customFormat="1" ht="12">
      <c r="A133" s="11"/>
      <c r="B133" s="10"/>
      <c r="C133" s="19"/>
      <c r="D133" s="12"/>
      <c r="E133" s="28"/>
      <c r="F133" s="12"/>
      <c r="G133" s="43"/>
      <c r="H133" s="43"/>
      <c r="I133" s="40"/>
    </row>
    <row r="134" spans="1:9" s="2" customFormat="1" ht="12">
      <c r="A134" s="11" t="s">
        <v>35</v>
      </c>
      <c r="B134" s="10">
        <v>55</v>
      </c>
      <c r="C134" s="19" t="s">
        <v>113</v>
      </c>
      <c r="D134" s="12"/>
      <c r="E134" s="28"/>
      <c r="F134" s="12"/>
      <c r="G134" s="43">
        <v>52</v>
      </c>
      <c r="H134" s="43"/>
      <c r="I134" s="40">
        <f t="shared" ref="I134:I146" si="9">G134*B134</f>
        <v>2860</v>
      </c>
    </row>
    <row r="135" spans="1:9" s="2" customFormat="1" ht="12">
      <c r="A135" s="11" t="s">
        <v>36</v>
      </c>
      <c r="B135" s="10">
        <v>4</v>
      </c>
      <c r="C135" s="19" t="s">
        <v>114</v>
      </c>
      <c r="D135" s="12"/>
      <c r="E135" s="28"/>
      <c r="F135" s="12"/>
      <c r="G135" s="43">
        <v>135</v>
      </c>
      <c r="H135" s="43"/>
      <c r="I135" s="40">
        <f t="shared" si="9"/>
        <v>540</v>
      </c>
    </row>
    <row r="136" spans="1:9" s="2" customFormat="1" ht="12">
      <c r="A136" s="11" t="s">
        <v>37</v>
      </c>
      <c r="B136" s="10">
        <v>4</v>
      </c>
      <c r="C136" s="19" t="s">
        <v>155</v>
      </c>
      <c r="D136" s="12"/>
      <c r="E136" s="28"/>
      <c r="F136" s="12"/>
      <c r="G136" s="43">
        <v>58</v>
      </c>
      <c r="H136" s="43"/>
      <c r="I136" s="40">
        <f t="shared" si="9"/>
        <v>232</v>
      </c>
    </row>
    <row r="137" spans="1:9" s="2" customFormat="1" ht="12">
      <c r="A137" s="11" t="s">
        <v>38</v>
      </c>
      <c r="B137" s="10">
        <v>4</v>
      </c>
      <c r="C137" s="19" t="s">
        <v>156</v>
      </c>
      <c r="D137" s="12"/>
      <c r="E137" s="28"/>
      <c r="F137" s="12"/>
      <c r="G137" s="43">
        <v>175</v>
      </c>
      <c r="H137" s="43"/>
      <c r="I137" s="40">
        <f t="shared" si="9"/>
        <v>700</v>
      </c>
    </row>
    <row r="138" spans="1:9" s="2" customFormat="1" ht="12">
      <c r="A138" s="11" t="s">
        <v>39</v>
      </c>
      <c r="B138" s="10">
        <v>2</v>
      </c>
      <c r="C138" s="19" t="s">
        <v>109</v>
      </c>
      <c r="D138" s="12"/>
      <c r="E138" s="28"/>
      <c r="F138" s="12"/>
      <c r="G138" s="43">
        <v>245</v>
      </c>
      <c r="H138" s="43"/>
      <c r="I138" s="40">
        <f t="shared" si="9"/>
        <v>490</v>
      </c>
    </row>
    <row r="139" spans="1:9" s="2" customFormat="1" ht="12">
      <c r="A139" s="11" t="s">
        <v>43</v>
      </c>
      <c r="B139" s="10">
        <v>2</v>
      </c>
      <c r="C139" s="19" t="s">
        <v>162</v>
      </c>
      <c r="D139" s="12"/>
      <c r="E139" s="28"/>
      <c r="F139" s="12"/>
      <c r="G139" s="43">
        <v>48</v>
      </c>
      <c r="H139" s="43"/>
      <c r="I139" s="40">
        <f t="shared" si="9"/>
        <v>96</v>
      </c>
    </row>
    <row r="140" spans="1:9" s="2" customFormat="1" ht="12">
      <c r="A140" s="11" t="s">
        <v>44</v>
      </c>
      <c r="B140" s="10">
        <v>2</v>
      </c>
      <c r="C140" s="19" t="s">
        <v>115</v>
      </c>
      <c r="D140" s="12"/>
      <c r="E140" s="28"/>
      <c r="F140" s="12"/>
      <c r="G140" s="43">
        <v>48</v>
      </c>
      <c r="H140" s="43"/>
      <c r="I140" s="40">
        <f t="shared" si="9"/>
        <v>96</v>
      </c>
    </row>
    <row r="141" spans="1:9" s="2" customFormat="1" ht="12">
      <c r="A141" s="11" t="s">
        <v>45</v>
      </c>
      <c r="B141" s="10">
        <v>1</v>
      </c>
      <c r="C141" s="19" t="s">
        <v>163</v>
      </c>
      <c r="D141" s="12"/>
      <c r="E141" s="28"/>
      <c r="F141" s="12"/>
      <c r="G141" s="43">
        <v>48</v>
      </c>
      <c r="H141" s="43"/>
      <c r="I141" s="40">
        <f t="shared" si="9"/>
        <v>48</v>
      </c>
    </row>
    <row r="142" spans="1:9" s="2" customFormat="1" ht="12">
      <c r="A142" s="11" t="s">
        <v>46</v>
      </c>
      <c r="B142" s="10">
        <v>2</v>
      </c>
      <c r="C142" s="19" t="s">
        <v>119</v>
      </c>
      <c r="D142" s="12"/>
      <c r="E142" s="28"/>
      <c r="F142" s="12"/>
      <c r="G142" s="43">
        <v>78</v>
      </c>
      <c r="H142" s="43"/>
      <c r="I142" s="40">
        <f t="shared" si="9"/>
        <v>156</v>
      </c>
    </row>
    <row r="143" spans="1:9" s="2" customFormat="1" ht="12">
      <c r="A143" s="2" t="s">
        <v>47</v>
      </c>
      <c r="B143" s="10">
        <v>1</v>
      </c>
      <c r="C143" s="19" t="s">
        <v>120</v>
      </c>
      <c r="D143" s="12"/>
      <c r="E143" s="28"/>
      <c r="F143" s="12"/>
      <c r="G143" s="43">
        <v>415</v>
      </c>
      <c r="H143" s="43"/>
      <c r="I143" s="40">
        <f t="shared" si="9"/>
        <v>415</v>
      </c>
    </row>
    <row r="144" spans="1:9" s="2" customFormat="1" ht="12">
      <c r="A144" s="2" t="s">
        <v>48</v>
      </c>
      <c r="B144" s="10">
        <v>1</v>
      </c>
      <c r="C144" s="19" t="s">
        <v>97</v>
      </c>
      <c r="D144" s="12"/>
      <c r="E144" s="28"/>
      <c r="F144" s="12"/>
      <c r="G144" s="43">
        <v>78</v>
      </c>
      <c r="H144" s="43"/>
      <c r="I144" s="40">
        <f t="shared" si="9"/>
        <v>78</v>
      </c>
    </row>
    <row r="145" spans="1:9" s="2" customFormat="1" ht="12">
      <c r="A145" s="2" t="s">
        <v>49</v>
      </c>
      <c r="B145" s="10">
        <v>2</v>
      </c>
      <c r="C145" s="19" t="s">
        <v>121</v>
      </c>
      <c r="D145" s="12"/>
      <c r="E145" s="28"/>
      <c r="F145" s="12"/>
      <c r="G145" s="43">
        <v>58</v>
      </c>
      <c r="H145" s="43"/>
      <c r="I145" s="40">
        <f t="shared" si="9"/>
        <v>116</v>
      </c>
    </row>
    <row r="146" spans="1:9" s="2" customFormat="1" ht="12">
      <c r="A146" s="2" t="s">
        <v>50</v>
      </c>
      <c r="B146" s="10">
        <v>2</v>
      </c>
      <c r="C146" s="19" t="s">
        <v>122</v>
      </c>
      <c r="D146" s="12"/>
      <c r="E146" s="28"/>
      <c r="F146" s="12"/>
      <c r="G146" s="43">
        <v>48</v>
      </c>
      <c r="H146" s="43"/>
      <c r="I146" s="40">
        <f t="shared" si="9"/>
        <v>96</v>
      </c>
    </row>
    <row r="147" spans="1:9" s="2" customFormat="1" ht="12">
      <c r="A147" s="11" t="s">
        <v>51</v>
      </c>
      <c r="B147" s="10">
        <v>4</v>
      </c>
      <c r="C147" s="19" t="s">
        <v>116</v>
      </c>
      <c r="D147" s="12"/>
      <c r="E147" s="28"/>
      <c r="F147" s="12"/>
      <c r="G147" s="43">
        <v>58</v>
      </c>
      <c r="H147" s="43"/>
      <c r="I147" s="40">
        <f>G147*B147</f>
        <v>232</v>
      </c>
    </row>
    <row r="148" spans="1:9" s="2" customFormat="1" ht="12">
      <c r="A148" s="11"/>
      <c r="B148" s="10"/>
      <c r="C148" s="19"/>
      <c r="D148" s="12"/>
      <c r="E148" s="28"/>
      <c r="F148" s="12"/>
      <c r="G148" s="43"/>
      <c r="H148" s="43"/>
      <c r="I148" s="40"/>
    </row>
    <row r="149" spans="1:9" s="2" customFormat="1" ht="12">
      <c r="A149" s="56" t="s">
        <v>123</v>
      </c>
      <c r="B149" s="56"/>
      <c r="C149" s="56"/>
      <c r="D149" s="56"/>
      <c r="E149" s="56"/>
      <c r="F149" s="56"/>
      <c r="G149" s="56"/>
      <c r="H149" s="56"/>
      <c r="I149" s="58">
        <f>SUM(I152:I169)</f>
        <v>3776</v>
      </c>
    </row>
    <row r="150" spans="1:9" s="2" customFormat="1" ht="12">
      <c r="A150" s="57"/>
      <c r="B150" s="57"/>
      <c r="C150" s="57"/>
      <c r="D150" s="57"/>
      <c r="E150" s="57"/>
      <c r="F150" s="57"/>
      <c r="G150" s="57"/>
      <c r="H150" s="57"/>
      <c r="I150" s="59"/>
    </row>
    <row r="151" spans="1:9" s="2" customFormat="1" ht="12">
      <c r="A151" s="11"/>
      <c r="B151" s="10"/>
      <c r="C151" s="19"/>
      <c r="D151" s="12"/>
      <c r="E151" s="28"/>
      <c r="F151" s="12"/>
      <c r="G151" s="43"/>
      <c r="H151" s="43"/>
      <c r="I151" s="40"/>
    </row>
    <row r="152" spans="1:9" s="2" customFormat="1" ht="12">
      <c r="A152" s="11" t="s">
        <v>35</v>
      </c>
      <c r="B152" s="10">
        <v>4</v>
      </c>
      <c r="C152" s="19" t="s">
        <v>104</v>
      </c>
      <c r="D152" s="12"/>
      <c r="E152" s="28"/>
      <c r="F152" s="12"/>
      <c r="G152" s="43">
        <v>310</v>
      </c>
      <c r="H152" s="43"/>
      <c r="I152" s="40">
        <f t="shared" ref="I152:I166" si="10">G152*B152</f>
        <v>1240</v>
      </c>
    </row>
    <row r="153" spans="1:9" s="2" customFormat="1" ht="12">
      <c r="A153" s="11" t="s">
        <v>36</v>
      </c>
      <c r="B153" s="10">
        <v>2</v>
      </c>
      <c r="C153" s="19" t="s">
        <v>105</v>
      </c>
      <c r="D153" s="12"/>
      <c r="E153" s="28"/>
      <c r="F153" s="12"/>
      <c r="G153" s="43">
        <v>58</v>
      </c>
      <c r="H153" s="43"/>
      <c r="I153" s="40">
        <f t="shared" si="10"/>
        <v>116</v>
      </c>
    </row>
    <row r="154" spans="1:9" s="2" customFormat="1" ht="12">
      <c r="A154" s="11" t="s">
        <v>37</v>
      </c>
      <c r="B154" s="10">
        <v>2</v>
      </c>
      <c r="C154" s="19" t="s">
        <v>106</v>
      </c>
      <c r="D154" s="12"/>
      <c r="E154" s="28"/>
      <c r="F154" s="12"/>
      <c r="G154" s="43">
        <v>58</v>
      </c>
      <c r="H154" s="43"/>
      <c r="I154" s="40">
        <f t="shared" si="10"/>
        <v>116</v>
      </c>
    </row>
    <row r="155" spans="1:9" s="2" customFormat="1" ht="12">
      <c r="A155" s="11" t="s">
        <v>38</v>
      </c>
      <c r="B155" s="10">
        <v>1</v>
      </c>
      <c r="C155" s="19" t="s">
        <v>107</v>
      </c>
      <c r="D155" s="12"/>
      <c r="E155" s="28"/>
      <c r="F155" s="12"/>
      <c r="G155" s="43">
        <v>135</v>
      </c>
      <c r="H155" s="43"/>
      <c r="I155" s="40">
        <f t="shared" si="10"/>
        <v>135</v>
      </c>
    </row>
    <row r="156" spans="1:9" s="2" customFormat="1" ht="12">
      <c r="A156" s="11" t="s">
        <v>39</v>
      </c>
      <c r="B156" s="10">
        <v>18</v>
      </c>
      <c r="C156" s="19" t="s">
        <v>108</v>
      </c>
      <c r="D156" s="12"/>
      <c r="E156" s="28"/>
      <c r="F156" s="12"/>
      <c r="G156" s="43">
        <v>52</v>
      </c>
      <c r="H156" s="43"/>
      <c r="I156" s="40">
        <f t="shared" si="10"/>
        <v>936</v>
      </c>
    </row>
    <row r="157" spans="1:9" s="2" customFormat="1" ht="12">
      <c r="A157" s="11" t="s">
        <v>43</v>
      </c>
      <c r="B157" s="10">
        <v>2</v>
      </c>
      <c r="C157" s="19" t="s">
        <v>164</v>
      </c>
      <c r="D157" s="12"/>
      <c r="E157" s="28"/>
      <c r="F157" s="12"/>
      <c r="G157" s="43">
        <v>58</v>
      </c>
      <c r="H157" s="43"/>
      <c r="I157" s="40">
        <f t="shared" si="10"/>
        <v>116</v>
      </c>
    </row>
    <row r="158" spans="1:9" s="2" customFormat="1" ht="12">
      <c r="A158" s="11" t="s">
        <v>44</v>
      </c>
      <c r="B158" s="10">
        <v>2</v>
      </c>
      <c r="C158" s="19" t="s">
        <v>165</v>
      </c>
      <c r="D158" s="12"/>
      <c r="E158" s="28"/>
      <c r="F158" s="12"/>
      <c r="G158" s="43">
        <v>175</v>
      </c>
      <c r="H158" s="43"/>
      <c r="I158" s="40">
        <f t="shared" si="10"/>
        <v>350</v>
      </c>
    </row>
    <row r="159" spans="1:9" s="2" customFormat="1" ht="12">
      <c r="A159" s="11" t="s">
        <v>45</v>
      </c>
      <c r="B159" s="10">
        <v>1</v>
      </c>
      <c r="C159" s="19" t="s">
        <v>109</v>
      </c>
      <c r="D159" s="12"/>
      <c r="E159" s="28"/>
      <c r="F159" s="12"/>
      <c r="G159" s="43">
        <v>245</v>
      </c>
      <c r="H159" s="43"/>
      <c r="I159" s="40">
        <f>G159*B159</f>
        <v>245</v>
      </c>
    </row>
    <row r="160" spans="1:9" s="2" customFormat="1" ht="12">
      <c r="A160" s="11" t="s">
        <v>31</v>
      </c>
      <c r="B160" s="10"/>
      <c r="C160" s="19"/>
      <c r="D160" s="12"/>
      <c r="E160" s="28" t="s">
        <v>32</v>
      </c>
      <c r="F160" s="12" t="str">
        <f>D7</f>
        <v>2404CDL01S</v>
      </c>
      <c r="G160" s="60" t="str">
        <f>D11</f>
        <v>TACARA STEUBING HEIGHTS</v>
      </c>
      <c r="H160" s="60"/>
      <c r="I160" s="34" t="s">
        <v>52</v>
      </c>
    </row>
    <row r="161" spans="1:9" s="2" customFormat="1" ht="12">
      <c r="A161" s="11"/>
      <c r="B161" s="10"/>
      <c r="C161" s="19"/>
      <c r="D161" s="12"/>
      <c r="E161" s="28"/>
      <c r="F161" s="12"/>
      <c r="G161" s="43"/>
      <c r="H161" s="43"/>
      <c r="I161" s="40"/>
    </row>
    <row r="162" spans="1:9" s="2" customFormat="1" ht="12">
      <c r="A162" s="56" t="s">
        <v>125</v>
      </c>
      <c r="B162" s="56"/>
      <c r="C162" s="56"/>
      <c r="D162" s="56"/>
      <c r="E162" s="56"/>
      <c r="F162" s="56"/>
      <c r="G162" s="56"/>
      <c r="H162" s="56"/>
      <c r="I162" s="58">
        <v>0</v>
      </c>
    </row>
    <row r="163" spans="1:9" s="2" customFormat="1" ht="12">
      <c r="A163" s="57"/>
      <c r="B163" s="57"/>
      <c r="C163" s="57"/>
      <c r="D163" s="57"/>
      <c r="E163" s="57"/>
      <c r="F163" s="57"/>
      <c r="G163" s="57"/>
      <c r="H163" s="57"/>
      <c r="I163" s="59"/>
    </row>
    <row r="164" spans="1:9" s="2" customFormat="1" ht="12">
      <c r="A164" s="11"/>
      <c r="B164" s="10"/>
      <c r="C164" s="19"/>
      <c r="D164" s="12"/>
      <c r="E164" s="28"/>
      <c r="F164" s="12"/>
      <c r="G164" s="43"/>
      <c r="H164" s="43"/>
      <c r="I164" s="40"/>
    </row>
    <row r="165" spans="1:9" s="2" customFormat="1" ht="12">
      <c r="A165" s="11" t="s">
        <v>46</v>
      </c>
      <c r="B165" s="10">
        <v>1</v>
      </c>
      <c r="C165" s="19" t="s">
        <v>126</v>
      </c>
      <c r="D165" s="12"/>
      <c r="E165" s="28"/>
      <c r="F165" s="12"/>
      <c r="G165" s="43">
        <v>48</v>
      </c>
      <c r="H165" s="43"/>
      <c r="I165" s="40">
        <f t="shared" si="10"/>
        <v>48</v>
      </c>
    </row>
    <row r="166" spans="1:9" s="2" customFormat="1" ht="12">
      <c r="A166" s="11" t="s">
        <v>47</v>
      </c>
      <c r="B166" s="10">
        <v>1</v>
      </c>
      <c r="C166" s="19" t="s">
        <v>127</v>
      </c>
      <c r="D166" s="12"/>
      <c r="E166" s="28"/>
      <c r="F166" s="12"/>
      <c r="G166" s="43">
        <v>48</v>
      </c>
      <c r="H166" s="43"/>
      <c r="I166" s="40">
        <f t="shared" si="10"/>
        <v>48</v>
      </c>
    </row>
    <row r="167" spans="1:9" s="2" customFormat="1" ht="12">
      <c r="A167" s="11" t="s">
        <v>48</v>
      </c>
      <c r="B167" s="10">
        <v>2</v>
      </c>
      <c r="C167" s="19" t="s">
        <v>128</v>
      </c>
      <c r="D167" s="12"/>
      <c r="E167" s="28"/>
      <c r="F167" s="12"/>
      <c r="G167" s="43">
        <v>58</v>
      </c>
      <c r="H167" s="43"/>
      <c r="I167" s="40">
        <f t="shared" ref="I167:I169" si="11">G167*B167</f>
        <v>116</v>
      </c>
    </row>
    <row r="168" spans="1:9" s="2" customFormat="1" ht="12">
      <c r="A168" s="11" t="s">
        <v>49</v>
      </c>
      <c r="B168" s="10">
        <v>1</v>
      </c>
      <c r="C168" s="19" t="s">
        <v>110</v>
      </c>
      <c r="D168" s="12"/>
      <c r="E168" s="28"/>
      <c r="F168" s="12"/>
      <c r="G168" s="43">
        <v>155</v>
      </c>
      <c r="H168" s="43"/>
      <c r="I168" s="40">
        <f t="shared" si="11"/>
        <v>155</v>
      </c>
    </row>
    <row r="169" spans="1:9" s="2" customFormat="1" ht="12">
      <c r="A169" s="11" t="s">
        <v>50</v>
      </c>
      <c r="B169" s="10">
        <v>1</v>
      </c>
      <c r="C169" s="19" t="s">
        <v>111</v>
      </c>
      <c r="D169" s="12"/>
      <c r="E169" s="28"/>
      <c r="F169" s="12"/>
      <c r="G169" s="43">
        <v>155</v>
      </c>
      <c r="H169" s="43"/>
      <c r="I169" s="40">
        <f t="shared" si="11"/>
        <v>155</v>
      </c>
    </row>
    <row r="171" spans="1:9" s="2" customFormat="1" ht="12">
      <c r="A171" s="56" t="s">
        <v>129</v>
      </c>
      <c r="B171" s="56"/>
      <c r="C171" s="56"/>
      <c r="D171" s="56"/>
      <c r="E171" s="56"/>
      <c r="F171" s="56"/>
      <c r="G171" s="56"/>
      <c r="H171" s="56"/>
      <c r="I171" s="58">
        <f>SUM(I174:I180)</f>
        <v>1878</v>
      </c>
    </row>
    <row r="172" spans="1:9" s="2" customFormat="1" ht="12">
      <c r="A172" s="57"/>
      <c r="B172" s="57"/>
      <c r="C172" s="57"/>
      <c r="D172" s="57"/>
      <c r="E172" s="57"/>
      <c r="F172" s="57"/>
      <c r="G172" s="57"/>
      <c r="H172" s="57"/>
      <c r="I172" s="59"/>
    </row>
    <row r="173" spans="1:9" s="2" customFormat="1" ht="12">
      <c r="A173" s="11"/>
      <c r="B173" s="10"/>
      <c r="C173" s="19"/>
      <c r="D173" s="12"/>
      <c r="E173" s="28"/>
      <c r="F173" s="12"/>
      <c r="G173" s="43"/>
      <c r="H173" s="43"/>
      <c r="I173" s="40"/>
    </row>
    <row r="174" spans="1:9" s="2" customFormat="1" ht="12">
      <c r="A174" s="11" t="s">
        <v>35</v>
      </c>
      <c r="B174" s="12">
        <v>18</v>
      </c>
      <c r="C174" s="19" t="s">
        <v>108</v>
      </c>
      <c r="D174" s="12"/>
      <c r="E174" s="28"/>
      <c r="F174" s="12"/>
      <c r="G174" s="43">
        <v>52</v>
      </c>
      <c r="H174" s="43"/>
      <c r="I174" s="40">
        <f t="shared" ref="I174:I180" si="12">G174*B174</f>
        <v>936</v>
      </c>
    </row>
    <row r="175" spans="1:9" s="2" customFormat="1" ht="12">
      <c r="A175" s="11" t="s">
        <v>36</v>
      </c>
      <c r="B175" s="12">
        <v>1</v>
      </c>
      <c r="C175" s="19" t="s">
        <v>114</v>
      </c>
      <c r="D175" s="12"/>
      <c r="E175" s="28"/>
      <c r="F175" s="12"/>
      <c r="G175" s="43">
        <v>135</v>
      </c>
      <c r="H175" s="43"/>
      <c r="I175" s="40">
        <f t="shared" si="12"/>
        <v>135</v>
      </c>
    </row>
    <row r="176" spans="1:9" s="2" customFormat="1" ht="12">
      <c r="A176" s="11" t="s">
        <v>37</v>
      </c>
      <c r="B176" s="12">
        <v>2</v>
      </c>
      <c r="C176" s="19" t="s">
        <v>164</v>
      </c>
      <c r="D176" s="12"/>
      <c r="E176" s="28"/>
      <c r="F176" s="12"/>
      <c r="G176" s="43">
        <v>58</v>
      </c>
      <c r="H176" s="43"/>
      <c r="I176" s="40">
        <f t="shared" si="12"/>
        <v>116</v>
      </c>
    </row>
    <row r="177" spans="1:9" s="2" customFormat="1" ht="12">
      <c r="A177" s="11" t="s">
        <v>38</v>
      </c>
      <c r="B177" s="12">
        <v>2</v>
      </c>
      <c r="C177" s="19" t="s">
        <v>165</v>
      </c>
      <c r="D177" s="12"/>
      <c r="E177" s="28"/>
      <c r="F177" s="12"/>
      <c r="G177" s="43">
        <v>175</v>
      </c>
      <c r="H177" s="43"/>
      <c r="I177" s="40">
        <f t="shared" si="12"/>
        <v>350</v>
      </c>
    </row>
    <row r="178" spans="1:9" s="2" customFormat="1" ht="12">
      <c r="A178" s="11" t="s">
        <v>39</v>
      </c>
      <c r="B178" s="12">
        <v>1</v>
      </c>
      <c r="C178" s="19" t="s">
        <v>109</v>
      </c>
      <c r="D178" s="12"/>
      <c r="E178" s="28"/>
      <c r="F178" s="12"/>
      <c r="G178" s="43">
        <v>245</v>
      </c>
      <c r="H178" s="43"/>
      <c r="I178" s="40">
        <f t="shared" si="12"/>
        <v>245</v>
      </c>
    </row>
    <row r="179" spans="1:9" s="2" customFormat="1" ht="12">
      <c r="A179" s="11" t="s">
        <v>43</v>
      </c>
      <c r="B179" s="12">
        <v>1</v>
      </c>
      <c r="C179" s="19" t="s">
        <v>127</v>
      </c>
      <c r="D179" s="12"/>
      <c r="E179" s="28"/>
      <c r="F179" s="12"/>
      <c r="G179" s="43">
        <v>48</v>
      </c>
      <c r="H179" s="43"/>
      <c r="I179" s="40">
        <f t="shared" si="12"/>
        <v>48</v>
      </c>
    </row>
    <row r="180" spans="1:9" s="2" customFormat="1" ht="12">
      <c r="A180" s="11" t="s">
        <v>44</v>
      </c>
      <c r="B180" s="12">
        <v>1</v>
      </c>
      <c r="C180" s="19" t="s">
        <v>126</v>
      </c>
      <c r="D180" s="12"/>
      <c r="E180" s="28"/>
      <c r="F180" s="12"/>
      <c r="G180" s="43">
        <v>48</v>
      </c>
      <c r="H180" s="43"/>
      <c r="I180" s="40">
        <f t="shared" si="12"/>
        <v>48</v>
      </c>
    </row>
    <row r="181" spans="1:9" s="2" customFormat="1" ht="12">
      <c r="A181" s="11"/>
      <c r="C181" s="19"/>
      <c r="D181" s="12"/>
      <c r="E181" s="28"/>
      <c r="F181" s="12"/>
      <c r="G181" s="43"/>
      <c r="H181" s="43"/>
      <c r="I181" s="40"/>
    </row>
    <row r="182" spans="1:9" s="2" customFormat="1" ht="12">
      <c r="A182" s="56" t="s">
        <v>130</v>
      </c>
      <c r="B182" s="56"/>
      <c r="C182" s="56"/>
      <c r="D182" s="56"/>
      <c r="E182" s="56"/>
      <c r="F182" s="56"/>
      <c r="G182" s="56"/>
      <c r="H182" s="56"/>
      <c r="I182" s="58">
        <f>SUM(I185:I191)</f>
        <v>1878</v>
      </c>
    </row>
    <row r="183" spans="1:9" s="2" customFormat="1" ht="12">
      <c r="A183" s="57"/>
      <c r="B183" s="57"/>
      <c r="C183" s="57"/>
      <c r="D183" s="57"/>
      <c r="E183" s="57"/>
      <c r="F183" s="57"/>
      <c r="G183" s="57"/>
      <c r="H183" s="57"/>
      <c r="I183" s="59"/>
    </row>
    <row r="184" spans="1:9" s="2" customFormat="1" ht="12">
      <c r="A184" s="11"/>
      <c r="B184" s="10"/>
      <c r="C184" s="19"/>
      <c r="D184" s="12"/>
      <c r="E184" s="28"/>
      <c r="F184" s="12"/>
      <c r="G184" s="43"/>
      <c r="H184" s="43"/>
      <c r="I184" s="40"/>
    </row>
    <row r="185" spans="1:9" s="2" customFormat="1" ht="12">
      <c r="A185" s="11" t="s">
        <v>35</v>
      </c>
      <c r="B185" s="12">
        <v>18</v>
      </c>
      <c r="C185" s="19" t="s">
        <v>108</v>
      </c>
      <c r="D185" s="12"/>
      <c r="E185" s="28"/>
      <c r="F185" s="12"/>
      <c r="G185" s="43">
        <v>52</v>
      </c>
      <c r="H185" s="43"/>
      <c r="I185" s="40">
        <f t="shared" ref="I185:I191" si="13">G185*B185</f>
        <v>936</v>
      </c>
    </row>
    <row r="186" spans="1:9" s="2" customFormat="1" ht="12">
      <c r="A186" s="11" t="s">
        <v>36</v>
      </c>
      <c r="B186" s="12">
        <v>1</v>
      </c>
      <c r="C186" s="19" t="s">
        <v>114</v>
      </c>
      <c r="D186" s="12"/>
      <c r="E186" s="28"/>
      <c r="F186" s="12"/>
      <c r="G186" s="43">
        <v>135</v>
      </c>
      <c r="H186" s="43"/>
      <c r="I186" s="40">
        <f t="shared" si="13"/>
        <v>135</v>
      </c>
    </row>
    <row r="187" spans="1:9" s="2" customFormat="1" ht="12">
      <c r="A187" s="11" t="s">
        <v>37</v>
      </c>
      <c r="B187" s="12">
        <v>2</v>
      </c>
      <c r="C187" s="19" t="s">
        <v>164</v>
      </c>
      <c r="D187" s="12"/>
      <c r="E187" s="28"/>
      <c r="F187" s="12"/>
      <c r="G187" s="43">
        <v>58</v>
      </c>
      <c r="H187" s="43"/>
      <c r="I187" s="40">
        <f t="shared" si="13"/>
        <v>116</v>
      </c>
    </row>
    <row r="188" spans="1:9" s="2" customFormat="1" ht="12">
      <c r="A188" s="11" t="s">
        <v>38</v>
      </c>
      <c r="B188" s="12">
        <v>2</v>
      </c>
      <c r="C188" s="19" t="s">
        <v>165</v>
      </c>
      <c r="D188" s="12"/>
      <c r="E188" s="28"/>
      <c r="F188" s="12"/>
      <c r="G188" s="43">
        <v>175</v>
      </c>
      <c r="H188" s="43"/>
      <c r="I188" s="40">
        <f t="shared" si="13"/>
        <v>350</v>
      </c>
    </row>
    <row r="189" spans="1:9" s="2" customFormat="1" ht="12">
      <c r="A189" s="11" t="s">
        <v>39</v>
      </c>
      <c r="B189" s="12">
        <v>1</v>
      </c>
      <c r="C189" s="19" t="s">
        <v>109</v>
      </c>
      <c r="D189" s="12"/>
      <c r="E189" s="28"/>
      <c r="F189" s="12"/>
      <c r="G189" s="43">
        <v>245</v>
      </c>
      <c r="H189" s="43"/>
      <c r="I189" s="40">
        <f t="shared" si="13"/>
        <v>245</v>
      </c>
    </row>
    <row r="190" spans="1:9" s="2" customFormat="1" ht="12">
      <c r="A190" s="11" t="s">
        <v>43</v>
      </c>
      <c r="B190" s="12">
        <v>1</v>
      </c>
      <c r="C190" s="19" t="s">
        <v>127</v>
      </c>
      <c r="D190" s="12"/>
      <c r="E190" s="28"/>
      <c r="F190" s="12"/>
      <c r="G190" s="43">
        <v>48</v>
      </c>
      <c r="H190" s="43"/>
      <c r="I190" s="40">
        <f t="shared" si="13"/>
        <v>48</v>
      </c>
    </row>
    <row r="191" spans="1:9" s="2" customFormat="1" ht="12">
      <c r="A191" s="11" t="s">
        <v>44</v>
      </c>
      <c r="B191" s="12">
        <v>1</v>
      </c>
      <c r="C191" s="19" t="s">
        <v>126</v>
      </c>
      <c r="D191" s="12"/>
      <c r="E191" s="28"/>
      <c r="F191" s="12"/>
      <c r="G191" s="43">
        <v>48</v>
      </c>
      <c r="H191" s="43"/>
      <c r="I191" s="40">
        <f t="shared" si="13"/>
        <v>48</v>
      </c>
    </row>
    <row r="192" spans="1:9" s="2" customFormat="1" ht="12">
      <c r="A192" s="11"/>
    </row>
    <row r="193" spans="1:9" s="2" customFormat="1" ht="12">
      <c r="A193" s="56" t="s">
        <v>131</v>
      </c>
      <c r="B193" s="56"/>
      <c r="C193" s="56"/>
      <c r="D193" s="56"/>
      <c r="E193" s="56"/>
      <c r="F193" s="56"/>
      <c r="G193" s="56"/>
      <c r="H193" s="56"/>
      <c r="I193" s="58">
        <f>SUM(I196:I203)</f>
        <v>1936</v>
      </c>
    </row>
    <row r="194" spans="1:9" s="2" customFormat="1" ht="12">
      <c r="A194" s="57"/>
      <c r="B194" s="57"/>
      <c r="C194" s="57"/>
      <c r="D194" s="57"/>
      <c r="E194" s="57"/>
      <c r="F194" s="57"/>
      <c r="G194" s="57"/>
      <c r="H194" s="57"/>
      <c r="I194" s="59"/>
    </row>
    <row r="195" spans="1:9" s="2" customFormat="1" ht="12">
      <c r="A195" s="11"/>
      <c r="B195" s="10"/>
      <c r="C195" s="19"/>
      <c r="D195" s="12"/>
      <c r="E195" s="28"/>
      <c r="F195" s="12"/>
      <c r="G195" s="43"/>
      <c r="H195" s="43"/>
      <c r="I195" s="40"/>
    </row>
    <row r="196" spans="1:9" s="2" customFormat="1" ht="12">
      <c r="A196" s="11" t="s">
        <v>35</v>
      </c>
      <c r="B196" s="12">
        <v>18</v>
      </c>
      <c r="C196" s="19" t="s">
        <v>108</v>
      </c>
      <c r="D196" s="12"/>
      <c r="E196" s="28"/>
      <c r="F196" s="12"/>
      <c r="G196" s="43">
        <v>52</v>
      </c>
      <c r="H196" s="43"/>
      <c r="I196" s="40">
        <f t="shared" ref="I196:I203" si="14">G196*B196</f>
        <v>936</v>
      </c>
    </row>
    <row r="197" spans="1:9" s="2" customFormat="1" ht="12">
      <c r="A197" s="11" t="s">
        <v>36</v>
      </c>
      <c r="B197" s="12">
        <v>1</v>
      </c>
      <c r="C197" s="19" t="s">
        <v>114</v>
      </c>
      <c r="D197" s="12"/>
      <c r="E197" s="28"/>
      <c r="F197" s="12"/>
      <c r="G197" s="43">
        <v>135</v>
      </c>
      <c r="H197" s="43"/>
      <c r="I197" s="40">
        <f t="shared" si="14"/>
        <v>135</v>
      </c>
    </row>
    <row r="198" spans="1:9" s="2" customFormat="1" ht="12">
      <c r="A198" s="11" t="s">
        <v>37</v>
      </c>
      <c r="B198" s="12">
        <v>2</v>
      </c>
      <c r="C198" s="19" t="s">
        <v>164</v>
      </c>
      <c r="D198" s="12"/>
      <c r="E198" s="28"/>
      <c r="F198" s="12"/>
      <c r="G198" s="43">
        <v>58</v>
      </c>
      <c r="H198" s="43"/>
      <c r="I198" s="40">
        <f t="shared" si="14"/>
        <v>116</v>
      </c>
    </row>
    <row r="199" spans="1:9" s="2" customFormat="1" ht="12">
      <c r="A199" s="11" t="s">
        <v>38</v>
      </c>
      <c r="B199" s="12">
        <v>2</v>
      </c>
      <c r="C199" s="19" t="s">
        <v>165</v>
      </c>
      <c r="D199" s="12"/>
      <c r="E199" s="28"/>
      <c r="F199" s="12"/>
      <c r="G199" s="43">
        <v>175</v>
      </c>
      <c r="H199" s="43"/>
      <c r="I199" s="40">
        <f t="shared" si="14"/>
        <v>350</v>
      </c>
    </row>
    <row r="200" spans="1:9" s="2" customFormat="1" ht="12">
      <c r="A200" s="11" t="s">
        <v>39</v>
      </c>
      <c r="B200" s="12">
        <v>1</v>
      </c>
      <c r="C200" s="19" t="s">
        <v>109</v>
      </c>
      <c r="D200" s="12"/>
      <c r="E200" s="28"/>
      <c r="F200" s="12"/>
      <c r="G200" s="43">
        <v>245</v>
      </c>
      <c r="H200" s="43"/>
      <c r="I200" s="40">
        <f t="shared" si="14"/>
        <v>245</v>
      </c>
    </row>
    <row r="201" spans="1:9" s="2" customFormat="1" ht="12">
      <c r="A201" s="11" t="s">
        <v>43</v>
      </c>
      <c r="B201" s="12">
        <v>1</v>
      </c>
      <c r="C201" s="19" t="s">
        <v>127</v>
      </c>
      <c r="D201" s="12"/>
      <c r="E201" s="28"/>
      <c r="F201" s="12"/>
      <c r="G201" s="43">
        <v>48</v>
      </c>
      <c r="H201" s="43"/>
      <c r="I201" s="40">
        <f t="shared" si="14"/>
        <v>48</v>
      </c>
    </row>
    <row r="202" spans="1:9" s="2" customFormat="1" ht="12">
      <c r="A202" s="11" t="s">
        <v>44</v>
      </c>
      <c r="B202" s="12">
        <v>1</v>
      </c>
      <c r="C202" s="19" t="s">
        <v>126</v>
      </c>
      <c r="D202" s="12"/>
      <c r="E202" s="28"/>
      <c r="F202" s="12"/>
      <c r="G202" s="43">
        <v>48</v>
      </c>
      <c r="H202" s="43"/>
      <c r="I202" s="40">
        <f t="shared" si="14"/>
        <v>48</v>
      </c>
    </row>
    <row r="203" spans="1:9" s="2" customFormat="1" ht="12">
      <c r="A203" s="11" t="s">
        <v>45</v>
      </c>
      <c r="B203" s="10">
        <v>1</v>
      </c>
      <c r="C203" s="19" t="s">
        <v>132</v>
      </c>
      <c r="D203" s="12"/>
      <c r="E203" s="28"/>
      <c r="F203" s="12"/>
      <c r="G203" s="43">
        <v>58</v>
      </c>
      <c r="H203" s="43"/>
      <c r="I203" s="40">
        <f t="shared" si="14"/>
        <v>58</v>
      </c>
    </row>
    <row r="205" spans="1:9" s="2" customFormat="1" ht="12">
      <c r="A205" s="56" t="s">
        <v>133</v>
      </c>
      <c r="B205" s="56"/>
      <c r="C205" s="56"/>
      <c r="D205" s="56"/>
      <c r="E205" s="56"/>
      <c r="F205" s="56"/>
      <c r="G205" s="56"/>
      <c r="H205" s="56"/>
      <c r="I205" s="58">
        <f>SUM(I208:I222)</f>
        <v>3678</v>
      </c>
    </row>
    <row r="206" spans="1:9" s="2" customFormat="1" ht="12">
      <c r="A206" s="57"/>
      <c r="B206" s="57"/>
      <c r="C206" s="57"/>
      <c r="D206" s="57"/>
      <c r="E206" s="57"/>
      <c r="F206" s="57"/>
      <c r="G206" s="57"/>
      <c r="H206" s="57"/>
      <c r="I206" s="59"/>
    </row>
    <row r="207" spans="1:9" s="2" customFormat="1" ht="12">
      <c r="B207" s="17"/>
      <c r="G207" s="5"/>
      <c r="H207" s="5"/>
    </row>
    <row r="208" spans="1:9" s="2" customFormat="1" ht="12">
      <c r="A208" s="2" t="s">
        <v>35</v>
      </c>
      <c r="B208" s="39">
        <v>1</v>
      </c>
      <c r="C208" s="2" t="s">
        <v>62</v>
      </c>
      <c r="G208" s="15">
        <v>695</v>
      </c>
      <c r="H208" s="5"/>
      <c r="I208" s="40">
        <f t="shared" ref="I208" si="15">G208*B208</f>
        <v>695</v>
      </c>
    </row>
    <row r="209" spans="1:9" s="2" customFormat="1" ht="12">
      <c r="A209" s="2" t="s">
        <v>36</v>
      </c>
      <c r="B209" s="12">
        <v>1</v>
      </c>
      <c r="C209" s="2" t="s">
        <v>61</v>
      </c>
      <c r="G209" s="15">
        <v>410</v>
      </c>
      <c r="I209" s="40">
        <f t="shared" ref="I209:I220" si="16">G209*B209</f>
        <v>410</v>
      </c>
    </row>
    <row r="210" spans="1:9" s="2" customFormat="1" ht="12">
      <c r="A210" s="2" t="s">
        <v>37</v>
      </c>
      <c r="B210" s="39">
        <v>1</v>
      </c>
      <c r="C210" s="2" t="s">
        <v>63</v>
      </c>
      <c r="G210" s="15">
        <v>410</v>
      </c>
      <c r="H210" s="5"/>
      <c r="I210" s="40">
        <f t="shared" si="16"/>
        <v>410</v>
      </c>
    </row>
    <row r="211" spans="1:9" s="2" customFormat="1" ht="12">
      <c r="A211" s="2" t="s">
        <v>38</v>
      </c>
      <c r="B211" s="39">
        <v>1</v>
      </c>
      <c r="C211" s="41" t="s">
        <v>41</v>
      </c>
      <c r="G211" s="15">
        <v>155</v>
      </c>
      <c r="H211" s="5"/>
      <c r="I211" s="40">
        <f t="shared" si="16"/>
        <v>155</v>
      </c>
    </row>
    <row r="212" spans="1:9" s="2" customFormat="1" ht="12">
      <c r="B212" s="39"/>
      <c r="C212" s="41"/>
      <c r="G212" s="15"/>
      <c r="H212" s="5"/>
      <c r="I212" s="40"/>
    </row>
    <row r="213" spans="1:9" s="2" customFormat="1" ht="12">
      <c r="A213" s="11" t="s">
        <v>31</v>
      </c>
      <c r="B213" s="10"/>
      <c r="C213" s="19"/>
      <c r="D213" s="12"/>
      <c r="E213" s="28" t="s">
        <v>32</v>
      </c>
      <c r="F213" s="12" t="str">
        <f>D7</f>
        <v>2404CDL01S</v>
      </c>
      <c r="G213" s="60" t="str">
        <f>D11</f>
        <v>TACARA STEUBING HEIGHTS</v>
      </c>
      <c r="H213" s="60"/>
      <c r="I213" s="34" t="s">
        <v>124</v>
      </c>
    </row>
    <row r="214" spans="1:9" s="2" customFormat="1" ht="12">
      <c r="B214" s="39"/>
      <c r="C214" s="41"/>
      <c r="G214" s="15"/>
      <c r="H214" s="5"/>
      <c r="I214" s="40"/>
    </row>
    <row r="215" spans="1:9" s="2" customFormat="1" ht="12">
      <c r="A215" s="56" t="s">
        <v>136</v>
      </c>
      <c r="B215" s="56"/>
      <c r="C215" s="56"/>
      <c r="D215" s="56"/>
      <c r="E215" s="56"/>
      <c r="F215" s="56"/>
      <c r="G215" s="56"/>
      <c r="H215" s="56"/>
      <c r="I215" s="58">
        <v>0</v>
      </c>
    </row>
    <row r="216" spans="1:9" s="2" customFormat="1" ht="12">
      <c r="A216" s="57"/>
      <c r="B216" s="57"/>
      <c r="C216" s="57"/>
      <c r="D216" s="57"/>
      <c r="E216" s="57"/>
      <c r="F216" s="57"/>
      <c r="G216" s="57"/>
      <c r="H216" s="57"/>
      <c r="I216" s="59"/>
    </row>
    <row r="217" spans="1:9" s="2" customFormat="1" ht="12">
      <c r="B217" s="39"/>
      <c r="C217" s="41"/>
      <c r="G217" s="15"/>
      <c r="H217" s="5"/>
      <c r="I217" s="40"/>
    </row>
    <row r="218" spans="1:9" s="2" customFormat="1" ht="12">
      <c r="A218" s="2" t="s">
        <v>39</v>
      </c>
      <c r="B218" s="39">
        <v>3</v>
      </c>
      <c r="C218" s="2" t="s">
        <v>42</v>
      </c>
      <c r="G218" s="15">
        <v>155</v>
      </c>
      <c r="H218" s="5"/>
      <c r="I218" s="40">
        <f t="shared" si="16"/>
        <v>465</v>
      </c>
    </row>
    <row r="219" spans="1:9" s="2" customFormat="1" ht="12">
      <c r="A219" s="2" t="s">
        <v>43</v>
      </c>
      <c r="B219" s="12">
        <v>3</v>
      </c>
      <c r="C219" s="2" t="s">
        <v>134</v>
      </c>
      <c r="G219" s="15">
        <v>185</v>
      </c>
      <c r="H219" s="15"/>
      <c r="I219" s="15">
        <f t="shared" si="16"/>
        <v>555</v>
      </c>
    </row>
    <row r="220" spans="1:9" s="2" customFormat="1" ht="12">
      <c r="A220" s="2" t="s">
        <v>44</v>
      </c>
      <c r="B220" s="39">
        <v>1</v>
      </c>
      <c r="C220" s="2" t="s">
        <v>135</v>
      </c>
      <c r="G220" s="15">
        <v>335</v>
      </c>
      <c r="H220" s="5"/>
      <c r="I220" s="40">
        <f t="shared" si="16"/>
        <v>335</v>
      </c>
    </row>
    <row r="221" spans="1:9" s="2" customFormat="1" ht="12">
      <c r="A221" s="2" t="s">
        <v>45</v>
      </c>
      <c r="B221" s="12">
        <v>1</v>
      </c>
      <c r="C221" s="2" t="s">
        <v>65</v>
      </c>
      <c r="G221" s="15">
        <v>58</v>
      </c>
      <c r="I221" s="15">
        <f t="shared" ref="I221" si="17">G221*B221</f>
        <v>58</v>
      </c>
    </row>
    <row r="222" spans="1:9" s="2" customFormat="1" ht="12">
      <c r="A222" s="2" t="s">
        <v>46</v>
      </c>
      <c r="B222" s="39">
        <v>1</v>
      </c>
      <c r="C222" s="2" t="s">
        <v>64</v>
      </c>
      <c r="G222" s="15">
        <v>595</v>
      </c>
      <c r="H222" s="5"/>
      <c r="I222" s="40">
        <f>G222*B222</f>
        <v>595</v>
      </c>
    </row>
    <row r="223" spans="1:9" s="2" customFormat="1" ht="12">
      <c r="B223" s="39"/>
      <c r="G223" s="15"/>
      <c r="H223" s="5"/>
      <c r="I223" s="40"/>
    </row>
    <row r="224" spans="1:9" s="2" customFormat="1" ht="12">
      <c r="A224" s="56" t="s">
        <v>171</v>
      </c>
      <c r="B224" s="56"/>
      <c r="C224" s="56"/>
      <c r="D224" s="56"/>
      <c r="E224" s="56"/>
      <c r="F224" s="56"/>
      <c r="G224" s="56"/>
      <c r="H224" s="56"/>
      <c r="I224" s="58">
        <f>SUM(I227:I242)</f>
        <v>3539</v>
      </c>
    </row>
    <row r="225" spans="1:9" s="2" customFormat="1" ht="12">
      <c r="A225" s="57"/>
      <c r="B225" s="57"/>
      <c r="C225" s="57"/>
      <c r="D225" s="57"/>
      <c r="E225" s="57"/>
      <c r="F225" s="57"/>
      <c r="G225" s="57"/>
      <c r="H225" s="57"/>
      <c r="I225" s="59"/>
    </row>
    <row r="226" spans="1:9" s="2" customFormat="1" ht="12">
      <c r="B226" s="39"/>
      <c r="G226" s="15"/>
      <c r="H226" s="5"/>
      <c r="I226" s="40"/>
    </row>
    <row r="227" spans="1:9" s="2" customFormat="1" ht="12">
      <c r="A227" s="2" t="s">
        <v>35</v>
      </c>
      <c r="B227" s="39">
        <v>1</v>
      </c>
      <c r="C227" s="2" t="s">
        <v>186</v>
      </c>
      <c r="G227" s="15">
        <v>310</v>
      </c>
      <c r="H227" s="5"/>
      <c r="I227" s="40">
        <f>G227*B227</f>
        <v>310</v>
      </c>
    </row>
    <row r="228" spans="1:9" s="2" customFormat="1" ht="12">
      <c r="A228" s="2" t="s">
        <v>36</v>
      </c>
      <c r="B228" s="39">
        <v>1</v>
      </c>
      <c r="C228" s="2" t="s">
        <v>172</v>
      </c>
      <c r="G228" s="15">
        <v>595</v>
      </c>
      <c r="H228" s="5"/>
      <c r="I228" s="40">
        <f>G228*B228</f>
        <v>595</v>
      </c>
    </row>
    <row r="229" spans="1:9" s="2" customFormat="1" ht="12">
      <c r="B229" s="39"/>
      <c r="C229" s="2" t="s">
        <v>173</v>
      </c>
      <c r="G229" s="15"/>
      <c r="H229" s="5"/>
      <c r="I229" s="40"/>
    </row>
    <row r="230" spans="1:9" s="2" customFormat="1" ht="12">
      <c r="A230" s="2" t="s">
        <v>37</v>
      </c>
      <c r="B230" s="39">
        <v>1</v>
      </c>
      <c r="C230" s="2" t="s">
        <v>174</v>
      </c>
      <c r="G230" s="15">
        <v>78</v>
      </c>
      <c r="H230" s="5"/>
      <c r="I230" s="40">
        <f t="shared" ref="I230:I242" si="18">G230*B230</f>
        <v>78</v>
      </c>
    </row>
    <row r="231" spans="1:9" s="2" customFormat="1" ht="12">
      <c r="A231" s="2" t="s">
        <v>38</v>
      </c>
      <c r="B231" s="39">
        <v>1</v>
      </c>
      <c r="C231" s="2" t="s">
        <v>175</v>
      </c>
      <c r="G231" s="15">
        <v>98</v>
      </c>
      <c r="H231" s="5"/>
      <c r="I231" s="40">
        <f t="shared" si="18"/>
        <v>98</v>
      </c>
    </row>
    <row r="232" spans="1:9" s="2" customFormat="1" ht="12">
      <c r="A232" s="2" t="s">
        <v>39</v>
      </c>
      <c r="B232" s="39">
        <v>4</v>
      </c>
      <c r="C232" s="2" t="s">
        <v>176</v>
      </c>
      <c r="G232" s="15">
        <v>58</v>
      </c>
      <c r="H232" s="5"/>
      <c r="I232" s="40">
        <f t="shared" si="18"/>
        <v>232</v>
      </c>
    </row>
    <row r="233" spans="1:9" s="2" customFormat="1" ht="12">
      <c r="A233" s="2" t="s">
        <v>43</v>
      </c>
      <c r="B233" s="39">
        <v>1</v>
      </c>
      <c r="C233" s="2" t="s">
        <v>183</v>
      </c>
      <c r="G233" s="15">
        <v>78</v>
      </c>
      <c r="H233" s="5"/>
      <c r="I233" s="40">
        <f t="shared" si="18"/>
        <v>78</v>
      </c>
    </row>
    <row r="234" spans="1:9" s="2" customFormat="1" ht="12">
      <c r="A234" s="2" t="s">
        <v>44</v>
      </c>
      <c r="B234" s="39">
        <v>1</v>
      </c>
      <c r="C234" s="2" t="s">
        <v>177</v>
      </c>
      <c r="G234" s="15">
        <v>415</v>
      </c>
      <c r="H234" s="5"/>
      <c r="I234" s="40">
        <f t="shared" si="18"/>
        <v>415</v>
      </c>
    </row>
    <row r="235" spans="1:9" s="2" customFormat="1" ht="12">
      <c r="A235" s="2" t="s">
        <v>45</v>
      </c>
      <c r="B235" s="39">
        <v>2</v>
      </c>
      <c r="C235" s="2" t="s">
        <v>184</v>
      </c>
      <c r="G235" s="15">
        <v>78</v>
      </c>
      <c r="H235" s="5"/>
      <c r="I235" s="40">
        <f t="shared" si="18"/>
        <v>156</v>
      </c>
    </row>
    <row r="236" spans="1:9" s="2" customFormat="1" ht="12">
      <c r="A236" s="2" t="s">
        <v>46</v>
      </c>
      <c r="B236" s="39">
        <v>1</v>
      </c>
      <c r="C236" s="2" t="s">
        <v>178</v>
      </c>
      <c r="G236" s="15">
        <v>415</v>
      </c>
      <c r="H236" s="5"/>
      <c r="I236" s="40">
        <f t="shared" si="18"/>
        <v>415</v>
      </c>
    </row>
    <row r="237" spans="1:9" s="2" customFormat="1" ht="12">
      <c r="A237" s="2" t="s">
        <v>47</v>
      </c>
      <c r="B237" s="39">
        <v>1</v>
      </c>
      <c r="C237" s="2" t="s">
        <v>179</v>
      </c>
      <c r="G237" s="15">
        <v>58</v>
      </c>
      <c r="H237" s="5"/>
      <c r="I237" s="40">
        <f t="shared" si="18"/>
        <v>58</v>
      </c>
    </row>
    <row r="238" spans="1:9" s="2" customFormat="1" ht="12">
      <c r="A238" s="2" t="s">
        <v>48</v>
      </c>
      <c r="B238" s="39">
        <v>1</v>
      </c>
      <c r="C238" s="2" t="s">
        <v>180</v>
      </c>
      <c r="G238" s="15">
        <v>415</v>
      </c>
      <c r="H238" s="5"/>
      <c r="I238" s="40">
        <f t="shared" si="18"/>
        <v>415</v>
      </c>
    </row>
    <row r="239" spans="1:9" s="2" customFormat="1" ht="12">
      <c r="A239" s="2" t="s">
        <v>49</v>
      </c>
      <c r="B239" s="39">
        <v>1</v>
      </c>
      <c r="C239" s="2" t="s">
        <v>83</v>
      </c>
      <c r="G239" s="15">
        <v>98</v>
      </c>
      <c r="H239" s="5"/>
      <c r="I239" s="40">
        <f t="shared" si="18"/>
        <v>98</v>
      </c>
    </row>
    <row r="240" spans="1:9" s="2" customFormat="1" ht="12">
      <c r="A240" s="2" t="s">
        <v>50</v>
      </c>
      <c r="B240" s="39">
        <v>1</v>
      </c>
      <c r="C240" s="2" t="s">
        <v>84</v>
      </c>
      <c r="G240" s="15">
        <v>98</v>
      </c>
      <c r="H240" s="5"/>
      <c r="I240" s="40">
        <f t="shared" si="18"/>
        <v>98</v>
      </c>
    </row>
    <row r="241" spans="1:9" s="2" customFormat="1" ht="12">
      <c r="A241" s="2" t="s">
        <v>51</v>
      </c>
      <c r="B241" s="39">
        <v>1</v>
      </c>
      <c r="C241" s="2" t="s">
        <v>185</v>
      </c>
      <c r="G241" s="15">
        <v>78</v>
      </c>
      <c r="H241" s="5"/>
      <c r="I241" s="40">
        <f t="shared" si="18"/>
        <v>78</v>
      </c>
    </row>
    <row r="242" spans="1:9" s="2" customFormat="1" ht="12">
      <c r="A242" s="2" t="s">
        <v>57</v>
      </c>
      <c r="B242" s="39">
        <v>1</v>
      </c>
      <c r="C242" s="2" t="s">
        <v>181</v>
      </c>
      <c r="G242" s="15">
        <v>415</v>
      </c>
      <c r="H242" s="5"/>
      <c r="I242" s="40">
        <f t="shared" si="18"/>
        <v>415</v>
      </c>
    </row>
    <row r="243" spans="1:9" s="2" customFormat="1" ht="12">
      <c r="B243" s="39"/>
      <c r="G243" s="15"/>
      <c r="H243" s="5"/>
      <c r="I243" s="40"/>
    </row>
    <row r="244" spans="1:9" s="2" customFormat="1" ht="12">
      <c r="A244" s="56" t="s">
        <v>168</v>
      </c>
      <c r="B244" s="56"/>
      <c r="C244" s="56"/>
      <c r="D244" s="56"/>
      <c r="E244" s="56"/>
      <c r="F244" s="56"/>
      <c r="G244" s="56"/>
      <c r="H244" s="56"/>
      <c r="I244" s="58">
        <v>2500</v>
      </c>
    </row>
    <row r="245" spans="1:9" s="2" customFormat="1" ht="12">
      <c r="A245" s="57"/>
      <c r="B245" s="57"/>
      <c r="C245" s="57"/>
      <c r="D245" s="57"/>
      <c r="E245" s="57"/>
      <c r="F245" s="57"/>
      <c r="G245" s="57"/>
      <c r="H245" s="57"/>
      <c r="I245" s="59"/>
    </row>
    <row r="246" spans="1:9" s="2" customFormat="1" ht="12">
      <c r="B246" s="39"/>
      <c r="G246" s="15"/>
      <c r="H246" s="5"/>
      <c r="I246" s="40"/>
    </row>
    <row r="247" spans="1:9" s="2" customFormat="1" ht="12">
      <c r="B247" s="20" t="s">
        <v>3</v>
      </c>
      <c r="C247" s="20"/>
      <c r="D247" s="20"/>
      <c r="E247" s="20"/>
      <c r="F247" s="20"/>
      <c r="G247" s="20"/>
      <c r="H247" s="21">
        <f>I244+I224+I205+I193+I182+I171+I149+I131+I119+I95+I80+I74+I45+I32+I12</f>
        <v>101055</v>
      </c>
      <c r="I247" s="15"/>
    </row>
    <row r="248" spans="1:9" s="2" customFormat="1" ht="12">
      <c r="B248" s="22" t="s">
        <v>16</v>
      </c>
      <c r="C248" s="22"/>
      <c r="D248" s="22"/>
      <c r="E248" s="22"/>
      <c r="F248" s="22"/>
      <c r="G248" s="22"/>
      <c r="H248" s="23">
        <f>H247*0.0825</f>
        <v>8337.0375000000004</v>
      </c>
      <c r="I248" s="15"/>
    </row>
    <row r="249" spans="1:9" s="2" customFormat="1" ht="12">
      <c r="B249" s="3"/>
      <c r="C249" s="3"/>
      <c r="D249" s="3"/>
      <c r="E249" s="3"/>
      <c r="F249" s="3"/>
      <c r="G249" s="3"/>
      <c r="H249" s="24"/>
      <c r="I249" s="15"/>
    </row>
    <row r="250" spans="1:9" s="2" customFormat="1" ht="12" customHeight="1">
      <c r="B250" s="62" t="s">
        <v>0</v>
      </c>
      <c r="C250" s="62"/>
      <c r="D250" s="62"/>
      <c r="E250" s="62"/>
      <c r="F250" s="62"/>
      <c r="G250" s="62"/>
      <c r="H250" s="61">
        <v>1100</v>
      </c>
      <c r="I250" s="15"/>
    </row>
    <row r="251" spans="1:9" s="2" customFormat="1" ht="12">
      <c r="B251" s="63"/>
      <c r="C251" s="63"/>
      <c r="D251" s="63"/>
      <c r="E251" s="63"/>
      <c r="F251" s="63"/>
      <c r="G251" s="63"/>
      <c r="H251" s="64"/>
      <c r="I251" s="15"/>
    </row>
    <row r="252" spans="1:9" s="2" customFormat="1" ht="12">
      <c r="B252" s="25"/>
      <c r="C252" s="6"/>
      <c r="D252" s="6"/>
      <c r="E252" s="6"/>
      <c r="F252" s="6"/>
      <c r="G252" s="6"/>
      <c r="H252" s="7"/>
      <c r="I252" s="15"/>
    </row>
    <row r="253" spans="1:9" s="2" customFormat="1" ht="12">
      <c r="B253" s="77" t="s">
        <v>138</v>
      </c>
      <c r="C253" s="77"/>
      <c r="D253" s="77"/>
      <c r="E253" s="77"/>
      <c r="F253" s="77"/>
      <c r="G253" s="77"/>
      <c r="H253" s="61">
        <v>19500</v>
      </c>
      <c r="I253" s="15"/>
    </row>
    <row r="254" spans="1:9" s="2" customFormat="1" ht="12">
      <c r="B254" s="78"/>
      <c r="C254" s="78"/>
      <c r="D254" s="78"/>
      <c r="E254" s="78"/>
      <c r="F254" s="78"/>
      <c r="G254" s="78"/>
      <c r="H254" s="59"/>
      <c r="I254" s="15"/>
    </row>
    <row r="255" spans="1:9" s="2" customFormat="1" ht="12">
      <c r="B255" s="44"/>
      <c r="C255" s="44"/>
      <c r="D255" s="44"/>
      <c r="E255" s="44"/>
      <c r="F255" s="44"/>
      <c r="G255" s="44"/>
      <c r="H255" s="42"/>
      <c r="I255" s="15"/>
    </row>
    <row r="256" spans="1:9" s="2" customFormat="1" ht="12">
      <c r="B256" s="67" t="s">
        <v>166</v>
      </c>
      <c r="C256" s="70"/>
      <c r="D256" s="70"/>
      <c r="E256" s="70"/>
      <c r="F256" s="70"/>
      <c r="G256" s="70"/>
      <c r="H256" s="70"/>
    </row>
    <row r="257" spans="1:9" s="2" customFormat="1" ht="12">
      <c r="B257" s="70"/>
      <c r="C257" s="70"/>
      <c r="D257" s="70"/>
      <c r="E257" s="70"/>
      <c r="F257" s="70"/>
      <c r="G257" s="70"/>
      <c r="H257" s="70"/>
    </row>
    <row r="258" spans="1:9" s="2" customFormat="1" ht="12">
      <c r="B258" s="70"/>
      <c r="C258" s="70"/>
      <c r="D258" s="70"/>
      <c r="E258" s="70"/>
      <c r="F258" s="70"/>
      <c r="G258" s="70"/>
      <c r="H258" s="70"/>
    </row>
    <row r="259" spans="1:9" s="2" customFormat="1" ht="12">
      <c r="B259" s="70"/>
      <c r="C259" s="70"/>
      <c r="D259" s="70"/>
      <c r="E259" s="70"/>
      <c r="F259" s="70"/>
      <c r="G259" s="70"/>
      <c r="H259" s="70"/>
    </row>
    <row r="260" spans="1:9" s="2" customFormat="1" ht="12">
      <c r="B260" s="70"/>
      <c r="C260" s="70"/>
      <c r="D260" s="70"/>
      <c r="E260" s="70"/>
      <c r="F260" s="70"/>
      <c r="G260" s="70"/>
      <c r="H260" s="70"/>
    </row>
    <row r="261" spans="1:9" s="2" customFormat="1" ht="12">
      <c r="B261" s="70"/>
      <c r="C261" s="70"/>
      <c r="D261" s="70"/>
      <c r="E261" s="70"/>
      <c r="F261" s="70"/>
      <c r="G261" s="70"/>
      <c r="H261" s="70"/>
    </row>
    <row r="262" spans="1:9" s="2" customFormat="1" ht="12">
      <c r="B262" s="70"/>
      <c r="C262" s="70"/>
      <c r="D262" s="70"/>
      <c r="E262" s="70"/>
      <c r="F262" s="70"/>
      <c r="G262" s="70"/>
      <c r="H262" s="70"/>
    </row>
    <row r="263" spans="1:9" s="2" customFormat="1" thickBot="1">
      <c r="B263" s="37"/>
      <c r="C263" s="37"/>
      <c r="D263" s="37"/>
      <c r="E263" s="37"/>
      <c r="F263" s="37"/>
      <c r="G263" s="37"/>
      <c r="H263" s="37"/>
    </row>
    <row r="264" spans="1:9" s="2" customFormat="1" thickTop="1">
      <c r="B264" s="74" t="s">
        <v>28</v>
      </c>
      <c r="C264" s="74"/>
      <c r="D264" s="26"/>
      <c r="E264" s="26"/>
      <c r="F264" s="26"/>
      <c r="G264" s="26"/>
      <c r="H264" s="71">
        <f>H253+H250+H248+H247</f>
        <v>129992.03750000001</v>
      </c>
    </row>
    <row r="265" spans="1:9" s="2" customFormat="1" thickBot="1">
      <c r="B265" s="75"/>
      <c r="C265" s="75"/>
      <c r="D265" s="27"/>
      <c r="E265" s="27"/>
      <c r="F265" s="27"/>
      <c r="G265" s="27"/>
      <c r="H265" s="72"/>
    </row>
    <row r="266" spans="1:9" s="2" customFormat="1" thickTop="1">
      <c r="A266" s="11" t="s">
        <v>31</v>
      </c>
      <c r="B266" s="10"/>
      <c r="C266" s="19"/>
      <c r="D266" s="12"/>
      <c r="E266" s="28" t="s">
        <v>32</v>
      </c>
      <c r="F266" s="12" t="str">
        <f>D7</f>
        <v>2404CDL01S</v>
      </c>
      <c r="G266" s="60" t="str">
        <f>D11</f>
        <v>TACARA STEUBING HEIGHTS</v>
      </c>
      <c r="H266" s="60"/>
      <c r="I266" s="34" t="s">
        <v>137</v>
      </c>
    </row>
    <row r="267" spans="1:9" s="2" customFormat="1" ht="12">
      <c r="B267" s="49"/>
      <c r="C267" s="49"/>
      <c r="H267" s="38"/>
    </row>
    <row r="268" spans="1:9" s="2" customFormat="1" ht="12">
      <c r="B268" s="28" t="s">
        <v>2</v>
      </c>
      <c r="C268" s="3" t="s">
        <v>30</v>
      </c>
    </row>
    <row r="269" spans="1:9" s="2" customFormat="1" ht="12">
      <c r="B269" s="28"/>
      <c r="C269" s="3"/>
    </row>
    <row r="270" spans="1:9" s="2" customFormat="1" ht="12">
      <c r="B270" s="28" t="s">
        <v>25</v>
      </c>
      <c r="C270" s="76" t="s">
        <v>34</v>
      </c>
      <c r="D270" s="76"/>
      <c r="E270" s="76"/>
      <c r="F270" s="76"/>
      <c r="G270" s="76"/>
      <c r="H270" s="76"/>
    </row>
    <row r="271" spans="1:9" s="2" customFormat="1" ht="12">
      <c r="B271" s="28"/>
      <c r="C271" s="76"/>
      <c r="D271" s="76"/>
      <c r="E271" s="76"/>
      <c r="F271" s="76"/>
      <c r="G271" s="76"/>
      <c r="H271" s="76"/>
    </row>
    <row r="272" spans="1:9" s="2" customFormat="1" ht="12">
      <c r="B272" s="28"/>
      <c r="H272" s="5"/>
    </row>
    <row r="273" spans="2:8" s="2" customFormat="1" ht="12">
      <c r="B273" s="28" t="s">
        <v>10</v>
      </c>
      <c r="C273" s="73" t="s">
        <v>9</v>
      </c>
      <c r="D273" s="73"/>
      <c r="E273" s="73"/>
      <c r="F273" s="73"/>
      <c r="G273" s="73"/>
      <c r="H273" s="73"/>
    </row>
    <row r="274" spans="2:8" s="2" customFormat="1" ht="12">
      <c r="B274" s="28"/>
      <c r="C274" s="73"/>
      <c r="D274" s="73"/>
      <c r="E274" s="73"/>
      <c r="F274" s="73"/>
      <c r="G274" s="73"/>
      <c r="H274" s="73"/>
    </row>
    <row r="275" spans="2:8" s="2" customFormat="1" ht="12">
      <c r="B275" s="28"/>
      <c r="C275" s="29"/>
      <c r="D275" s="29"/>
      <c r="E275" s="29"/>
      <c r="F275" s="29"/>
      <c r="G275" s="29"/>
      <c r="H275" s="30"/>
    </row>
    <row r="276" spans="2:8" s="2" customFormat="1" ht="12">
      <c r="B276" s="28" t="s">
        <v>11</v>
      </c>
      <c r="C276" s="73" t="s">
        <v>13</v>
      </c>
      <c r="D276" s="73"/>
      <c r="E276" s="73"/>
      <c r="F276" s="73"/>
      <c r="G276" s="73"/>
      <c r="H276" s="73"/>
    </row>
    <row r="277" spans="2:8" s="2" customFormat="1" ht="12">
      <c r="B277" s="28"/>
      <c r="C277" s="73"/>
      <c r="D277" s="73"/>
      <c r="E277" s="73"/>
      <c r="F277" s="73"/>
      <c r="G277" s="73"/>
      <c r="H277" s="73"/>
    </row>
    <row r="278" spans="2:8" s="2" customFormat="1" ht="12">
      <c r="B278" s="28"/>
      <c r="C278" s="3"/>
      <c r="D278" s="3"/>
      <c r="E278" s="3"/>
      <c r="F278" s="3"/>
      <c r="G278" s="3"/>
      <c r="H278" s="31"/>
    </row>
    <row r="279" spans="2:8" s="2" customFormat="1" ht="12">
      <c r="B279" s="28" t="s">
        <v>12</v>
      </c>
      <c r="C279" s="76" t="s">
        <v>15</v>
      </c>
      <c r="D279" s="76"/>
      <c r="E279" s="76"/>
      <c r="F279" s="76"/>
      <c r="G279" s="76"/>
      <c r="H279" s="76"/>
    </row>
    <row r="280" spans="2:8" s="2" customFormat="1" ht="12">
      <c r="B280" s="28"/>
      <c r="C280" s="76"/>
      <c r="D280" s="76"/>
      <c r="E280" s="76"/>
      <c r="F280" s="76"/>
      <c r="G280" s="76"/>
      <c r="H280" s="76"/>
    </row>
    <row r="281" spans="2:8" s="2" customFormat="1" ht="12">
      <c r="B281" s="28"/>
      <c r="H281" s="5"/>
    </row>
    <row r="282" spans="2:8" s="2" customFormat="1" ht="12">
      <c r="B282" s="28" t="s">
        <v>29</v>
      </c>
      <c r="C282" s="76" t="s">
        <v>4</v>
      </c>
      <c r="D282" s="76"/>
      <c r="E282" s="76"/>
      <c r="F282" s="76"/>
      <c r="G282" s="76"/>
      <c r="H282" s="76"/>
    </row>
    <row r="283" spans="2:8" s="2" customFormat="1" ht="12">
      <c r="B283" s="28"/>
      <c r="C283" s="76"/>
      <c r="D283" s="76"/>
      <c r="E283" s="76"/>
      <c r="F283" s="76"/>
      <c r="G283" s="76"/>
      <c r="H283" s="76"/>
    </row>
    <row r="284" spans="2:8" s="2" customFormat="1" ht="12">
      <c r="B284" s="12"/>
      <c r="H284" s="5"/>
    </row>
    <row r="285" spans="2:8" s="2" customFormat="1" ht="12">
      <c r="B285" s="12" t="s">
        <v>26</v>
      </c>
      <c r="C285" s="67" t="s">
        <v>1</v>
      </c>
      <c r="D285" s="67"/>
      <c r="E285" s="67"/>
      <c r="F285" s="67"/>
      <c r="G285" s="67"/>
      <c r="H285" s="67"/>
    </row>
    <row r="286" spans="2:8" s="2" customFormat="1" ht="12">
      <c r="B286" s="12"/>
      <c r="C286" s="67"/>
      <c r="D286" s="67"/>
      <c r="E286" s="67"/>
      <c r="F286" s="67"/>
      <c r="G286" s="67"/>
      <c r="H286" s="67"/>
    </row>
    <row r="287" spans="2:8" s="2" customFormat="1" ht="12">
      <c r="B287" s="12"/>
      <c r="C287" s="67"/>
      <c r="D287" s="67"/>
      <c r="E287" s="67"/>
      <c r="F287" s="67"/>
      <c r="G287" s="67"/>
      <c r="H287" s="67"/>
    </row>
    <row r="288" spans="2:8" s="2" customFormat="1" ht="12">
      <c r="B288" s="12"/>
      <c r="C288" s="32"/>
      <c r="D288" s="32"/>
      <c r="E288" s="32"/>
      <c r="F288" s="32"/>
      <c r="G288" s="32"/>
      <c r="H288" s="32"/>
    </row>
    <row r="289" spans="2:9" s="2" customFormat="1" ht="12">
      <c r="B289" s="12"/>
      <c r="C289" s="67" t="s">
        <v>17</v>
      </c>
      <c r="D289" s="67"/>
      <c r="E289" s="67"/>
      <c r="F289" s="67"/>
      <c r="G289" s="67"/>
      <c r="H289" s="67"/>
    </row>
    <row r="290" spans="2:9" s="2" customFormat="1" ht="12">
      <c r="B290" s="12"/>
      <c r="C290" s="45"/>
      <c r="D290" s="45"/>
      <c r="E290" s="45"/>
      <c r="F290" s="45"/>
      <c r="G290" s="45"/>
      <c r="H290" s="45"/>
    </row>
    <row r="291" spans="2:9" s="2" customFormat="1" ht="12">
      <c r="B291" s="12"/>
      <c r="C291" s="67" t="s">
        <v>18</v>
      </c>
      <c r="D291" s="67"/>
      <c r="E291" s="67"/>
      <c r="F291" s="67"/>
      <c r="G291" s="67"/>
      <c r="H291" s="67"/>
    </row>
    <row r="292" spans="2:9" s="2" customFormat="1" ht="12">
      <c r="B292" s="12"/>
      <c r="C292" s="67"/>
      <c r="D292" s="67"/>
      <c r="E292" s="67"/>
      <c r="F292" s="67"/>
      <c r="G292" s="67"/>
      <c r="H292" s="67"/>
    </row>
    <row r="293" spans="2:9" s="2" customFormat="1" ht="12">
      <c r="B293" s="12"/>
      <c r="C293" s="45"/>
      <c r="D293" s="45"/>
      <c r="E293" s="45"/>
      <c r="F293" s="45"/>
      <c r="G293" s="45"/>
      <c r="H293" s="45"/>
    </row>
    <row r="294" spans="2:9" s="2" customFormat="1" ht="12">
      <c r="B294" s="12"/>
      <c r="C294" s="45"/>
      <c r="D294" s="45"/>
      <c r="E294" s="45"/>
      <c r="F294" s="45"/>
      <c r="G294" s="45"/>
      <c r="H294" s="45"/>
    </row>
    <row r="295" spans="2:9" s="2" customFormat="1" ht="12">
      <c r="B295" s="12"/>
      <c r="C295" s="45"/>
      <c r="D295" s="45"/>
      <c r="E295" s="45"/>
      <c r="F295" s="45"/>
      <c r="G295" s="45"/>
      <c r="H295" s="45"/>
    </row>
    <row r="296" spans="2:9" s="2" customFormat="1" ht="12">
      <c r="B296" s="12"/>
      <c r="C296" s="45"/>
      <c r="D296" s="45"/>
      <c r="E296" s="45"/>
      <c r="F296" s="45"/>
      <c r="G296" s="45"/>
      <c r="H296" s="45"/>
    </row>
    <row r="297" spans="2:9" s="2" customFormat="1" ht="12">
      <c r="B297" s="12"/>
      <c r="C297" s="45"/>
      <c r="D297" s="45"/>
      <c r="E297" s="45"/>
      <c r="F297" s="45"/>
      <c r="G297" s="45"/>
      <c r="H297" s="45"/>
    </row>
    <row r="298" spans="2:9" s="2" customFormat="1" ht="12">
      <c r="B298" s="12"/>
      <c r="C298" s="32"/>
      <c r="D298" s="32"/>
      <c r="E298" s="32"/>
      <c r="F298" s="32"/>
      <c r="G298" s="32"/>
      <c r="H298" s="32"/>
    </row>
    <row r="299" spans="2:9" s="2" customFormat="1" ht="12">
      <c r="B299" s="12"/>
      <c r="C299" s="32"/>
      <c r="D299" s="32"/>
      <c r="E299" s="32"/>
      <c r="F299" s="32"/>
      <c r="G299" s="32"/>
      <c r="H299" s="32"/>
    </row>
    <row r="300" spans="2:9" s="2" customFormat="1" ht="12">
      <c r="B300" s="68" t="s">
        <v>19</v>
      </c>
      <c r="C300" s="68"/>
      <c r="D300" s="69"/>
      <c r="G300" s="33" t="str">
        <f>D1</f>
        <v>CASEY DEVELOPMENT LTD.</v>
      </c>
      <c r="H300" s="33"/>
      <c r="I300" s="33"/>
    </row>
    <row r="301" spans="2:9" s="2" customFormat="1" ht="12">
      <c r="B301" s="65" t="s">
        <v>20</v>
      </c>
      <c r="C301" s="65"/>
      <c r="D301" s="65"/>
      <c r="E301" s="70"/>
      <c r="G301" s="2" t="str">
        <f>D5</f>
        <v>DREW CARAWAY / SYLVIA RODRIGUEZ</v>
      </c>
    </row>
    <row r="302" spans="2:9" s="2" customFormat="1" ht="12">
      <c r="B302" s="65" t="s">
        <v>21</v>
      </c>
      <c r="C302" s="66"/>
      <c r="D302" s="66"/>
      <c r="G302" s="65" t="s">
        <v>14</v>
      </c>
      <c r="H302" s="66"/>
      <c r="I302" s="66"/>
    </row>
    <row r="304" spans="2:9" s="2" customFormat="1" ht="12">
      <c r="B304" s="12"/>
      <c r="H304" s="5"/>
    </row>
    <row r="309" spans="2:8" s="2" customFormat="1" ht="12">
      <c r="B309" s="12"/>
      <c r="H309" s="5"/>
    </row>
    <row r="310" spans="2:8" s="2" customFormat="1" ht="12">
      <c r="B310" s="12"/>
      <c r="H310" s="5"/>
    </row>
    <row r="311" spans="2:8" s="2" customFormat="1" ht="12">
      <c r="B311" s="12"/>
      <c r="H311" s="5"/>
    </row>
    <row r="312" spans="2:8" s="2" customFormat="1" ht="12">
      <c r="B312" s="12"/>
      <c r="H312" s="5"/>
    </row>
    <row r="313" spans="2:8" s="2" customFormat="1" ht="12">
      <c r="B313" s="12"/>
      <c r="H313" s="5"/>
    </row>
    <row r="314" spans="2:8" s="2" customFormat="1" ht="12"/>
    <row r="315" spans="2:8" s="2" customFormat="1" ht="12"/>
    <row r="316" spans="2:8" s="2" customFormat="1" ht="12"/>
    <row r="317" spans="2:8" s="2" customFormat="1" ht="12"/>
    <row r="318" spans="2:8" s="2" customFormat="1" ht="12"/>
    <row r="319" spans="2:8" s="2" customFormat="1" ht="12"/>
  </sheetData>
  <mergeCells count="62">
    <mergeCell ref="I12:I13"/>
    <mergeCell ref="A12:C13"/>
    <mergeCell ref="A119:H120"/>
    <mergeCell ref="I119:I120"/>
    <mergeCell ref="A56:H57"/>
    <mergeCell ref="I56:I57"/>
    <mergeCell ref="A109:H110"/>
    <mergeCell ref="I109:I110"/>
    <mergeCell ref="A45:H46"/>
    <mergeCell ref="I45:I46"/>
    <mergeCell ref="A74:H75"/>
    <mergeCell ref="I74:I75"/>
    <mergeCell ref="G54:H54"/>
    <mergeCell ref="A32:H33"/>
    <mergeCell ref="B253:G254"/>
    <mergeCell ref="A80:H81"/>
    <mergeCell ref="I80:I81"/>
    <mergeCell ref="G107:H107"/>
    <mergeCell ref="G160:H160"/>
    <mergeCell ref="A95:H96"/>
    <mergeCell ref="I95:I96"/>
    <mergeCell ref="A131:H132"/>
    <mergeCell ref="I131:I132"/>
    <mergeCell ref="A149:H150"/>
    <mergeCell ref="I149:I150"/>
    <mergeCell ref="A244:H245"/>
    <mergeCell ref="I244:I245"/>
    <mergeCell ref="I32:I33"/>
    <mergeCell ref="C285:H287"/>
    <mergeCell ref="H264:H265"/>
    <mergeCell ref="B256:H262"/>
    <mergeCell ref="C273:H274"/>
    <mergeCell ref="B264:C265"/>
    <mergeCell ref="C282:H283"/>
    <mergeCell ref="C279:H280"/>
    <mergeCell ref="C270:H271"/>
    <mergeCell ref="C276:H277"/>
    <mergeCell ref="B302:D302"/>
    <mergeCell ref="G302:I302"/>
    <mergeCell ref="C289:H289"/>
    <mergeCell ref="C291:H292"/>
    <mergeCell ref="B300:D300"/>
    <mergeCell ref="B301:E301"/>
    <mergeCell ref="G266:H266"/>
    <mergeCell ref="G213:H213"/>
    <mergeCell ref="A171:H172"/>
    <mergeCell ref="I171:I172"/>
    <mergeCell ref="A182:H183"/>
    <mergeCell ref="I182:I183"/>
    <mergeCell ref="A193:H194"/>
    <mergeCell ref="I193:I194"/>
    <mergeCell ref="H253:H254"/>
    <mergeCell ref="B250:G251"/>
    <mergeCell ref="H250:H251"/>
    <mergeCell ref="A205:H206"/>
    <mergeCell ref="I205:I206"/>
    <mergeCell ref="A224:H225"/>
    <mergeCell ref="I224:I225"/>
    <mergeCell ref="A162:H163"/>
    <mergeCell ref="I162:I163"/>
    <mergeCell ref="A215:H216"/>
    <mergeCell ref="I215:I216"/>
  </mergeCells>
  <phoneticPr fontId="2"/>
  <printOptions horizontalCentered="1" verticalCentered="1"/>
  <pageMargins left="0.25" right="0.25" top="1.5" bottom="0.5" header="0" footer="0.15"/>
  <pageSetup orientation="portrait" horizontalDpi="4294967292" verticalDpi="4294967292"/>
  <headerFooter alignWithMargins="0">
    <oddHeader>&amp;C&amp;K000000&amp;G</oddHeader>
    <oddFooter>&amp;L1351 Regal Row
Dallas, Texas 75247&amp;RFON 214-630-2125
FAX 214-630-2314</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Alissa Wyatt</cp:lastModifiedBy>
  <cp:lastPrinted>2024-05-10T17:18:24Z</cp:lastPrinted>
  <dcterms:created xsi:type="dcterms:W3CDTF">2008-03-19T14:06:24Z</dcterms:created>
  <dcterms:modified xsi:type="dcterms:W3CDTF">2024-08-01T19:11:52Z</dcterms:modified>
</cp:coreProperties>
</file>