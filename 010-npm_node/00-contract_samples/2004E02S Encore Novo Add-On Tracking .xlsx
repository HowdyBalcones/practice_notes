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NTRACTS\Encore Enterprises\Encore Novo (Chandler-AZ)\Signage\Reconciliation\"/>
    </mc:Choice>
  </mc:AlternateContent>
  <xr:revisionPtr revIDLastSave="0" documentId="13_ncr:1_{F4BF19FD-D096-42B6-8E36-CE21BEC5DAA5}" xr6:coauthVersionLast="47" xr6:coauthVersionMax="47" xr10:uidLastSave="{00000000-0000-0000-0000-000000000000}"/>
  <bookViews>
    <workbookView xWindow="-120" yWindow="-120" windowWidth="29040" windowHeight="15840" xr2:uid="{C0312BB9-8987-A149-88A8-160271C01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6" i="1" l="1"/>
  <c r="I79" i="1"/>
  <c r="I18" i="1"/>
  <c r="I28" i="1"/>
  <c r="I59" i="1"/>
  <c r="G74" i="1"/>
  <c r="I74" i="1" s="1"/>
  <c r="I64" i="1"/>
  <c r="I65" i="1"/>
  <c r="I67" i="1"/>
  <c r="I69" i="1"/>
  <c r="I71" i="1"/>
  <c r="I72" i="1"/>
  <c r="I25" i="1"/>
  <c r="I32" i="1"/>
  <c r="I33" i="1"/>
  <c r="I34" i="1"/>
  <c r="I35" i="1"/>
  <c r="I36" i="1"/>
  <c r="I37" i="1"/>
  <c r="I38" i="1"/>
  <c r="I39" i="1"/>
  <c r="I40" i="1"/>
  <c r="I41" i="1"/>
  <c r="I43" i="1"/>
  <c r="I44" i="1"/>
  <c r="I62" i="1"/>
  <c r="I31" i="1" l="1"/>
  <c r="I23" i="1"/>
  <c r="I21" i="1"/>
  <c r="I80" i="1" l="1"/>
  <c r="I81" i="1" s="1"/>
</calcChain>
</file>

<file path=xl/sharedStrings.xml><?xml version="1.0" encoding="utf-8"?>
<sst xmlns="http://schemas.openxmlformats.org/spreadsheetml/2006/main" count="79" uniqueCount="69">
  <si>
    <t>CLIENT:</t>
  </si>
  <si>
    <t>ATTN:</t>
  </si>
  <si>
    <t>CONTRACT #:</t>
  </si>
  <si>
    <t>DATE:</t>
  </si>
  <si>
    <t>SIGNAGE PROGRAM:</t>
  </si>
  <si>
    <t>A.</t>
    <phoneticPr fontId="0"/>
  </si>
  <si>
    <t>SUBTOTAL</t>
    <phoneticPr fontId="0"/>
  </si>
  <si>
    <t>SALES TAX:</t>
    <phoneticPr fontId="0"/>
  </si>
  <si>
    <t xml:space="preserve">TOTAL ADDED SIGNAGE </t>
    <phoneticPr fontId="0"/>
  </si>
  <si>
    <t>TOTAL AMOUNT TO BILL  ABOVE AND BEYOND:</t>
    <phoneticPr fontId="0"/>
  </si>
  <si>
    <t>PERMIT FEES (BILLED AT COST):</t>
  </si>
  <si>
    <t>B.</t>
  </si>
  <si>
    <t>C.</t>
  </si>
  <si>
    <t>D.</t>
  </si>
  <si>
    <t>E.</t>
  </si>
  <si>
    <t>F.</t>
  </si>
  <si>
    <t>G.</t>
  </si>
  <si>
    <t>H.</t>
  </si>
  <si>
    <t>I.</t>
  </si>
  <si>
    <t>J.</t>
  </si>
  <si>
    <t>K.</t>
  </si>
  <si>
    <t>L.</t>
  </si>
  <si>
    <t>M.</t>
  </si>
  <si>
    <t>EMF CHANDLER, LLC</t>
  </si>
  <si>
    <t>6900 DALLAS PARKWAY, 3RD FLOOR</t>
  </si>
  <si>
    <t>PLANO, TX 75204</t>
  </si>
  <si>
    <t>ANGELA HILL</t>
  </si>
  <si>
    <t>2004E02S</t>
  </si>
  <si>
    <t>09.03.24</t>
  </si>
  <si>
    <t>ENCORE NOVO</t>
  </si>
  <si>
    <t>CUSTOM HANDICAP PARKING SIGNS ON POLE W/BASEPLATE</t>
  </si>
  <si>
    <t xml:space="preserve"> (LEASING EXTERIOR)</t>
  </si>
  <si>
    <t xml:space="preserve">LEASING OFFICE ID W/BACKER (LEASING INTERIOR) </t>
  </si>
  <si>
    <t>(CHANGED TO VINYL)</t>
  </si>
  <si>
    <t>UTILITY ROOM (BUILDING C - LEVEL 4)</t>
  </si>
  <si>
    <t>ELECTRICAL (BUILDING A - LEVEL 1)</t>
  </si>
  <si>
    <t>FACP (BUILDING A - LEVEL 1)</t>
  </si>
  <si>
    <t>MAINTENANCE (BUILDING B - LEVEL 1)</t>
  </si>
  <si>
    <t>ELECTRICAL (BUILDING B - LEVEL 1)</t>
  </si>
  <si>
    <t>IT ID (BUILDING B - LEVEL 2)</t>
  </si>
  <si>
    <t>ELECTRICAL (BUILDING C - LEVEL 1)</t>
  </si>
  <si>
    <t>911 DIRECTIONAL - FENCE MOUNT (AMENITY)</t>
  </si>
  <si>
    <t>CHEMICAL WARNING (MOUNTED ON CHEMICAL STORAGE DOOR)</t>
  </si>
  <si>
    <t>(AMENITY)</t>
  </si>
  <si>
    <t>CPR PANEL SIGN - FENCE MOUNT (AMENITY)</t>
  </si>
  <si>
    <t>(UPGRADED TO DIAMOND GRADE) (PER FIRE CODE)</t>
  </si>
  <si>
    <t>SIGN CHANGES / ADDITIONS DURING BOOK REVIEW PHASE:</t>
  </si>
  <si>
    <t>TEMP PACKAGE FOR BUILDING A &amp; C (ADDED BY RUAN WILLIAMS)</t>
  </si>
  <si>
    <t>GATE SIGNS - SWiNG GATE (ADDED BY MIGUEL ORTEGA / RYAN QILLIAMS)</t>
  </si>
  <si>
    <t>SHIPPING / HANDLING OF ADDED SIGNAGE</t>
  </si>
  <si>
    <t xml:space="preserve">SIGNAGE ITEMS DELETED FROM CONTRACT: </t>
  </si>
  <si>
    <t>CHANGED LEASING  ID TO LEASING DOOR DECAL</t>
  </si>
  <si>
    <t>A.</t>
  </si>
  <si>
    <t>AREA OF REFUGE (ALL BLDGS PER FM / JOB SUP)</t>
  </si>
  <si>
    <t xml:space="preserve">EXIT ID (PER FM - ADDED BY RYAN WILLIAMS) ADD PANEL TO </t>
  </si>
  <si>
    <t>(MADE TEMP AND PERM)</t>
  </si>
  <si>
    <t xml:space="preserve">(OVERNIGHT CHARGES FOR ADD-ON SIGNS NEEDED ASAP) </t>
  </si>
  <si>
    <t>BUILDING IDS (SITE SIGNAGE) (ADDED PER FM)</t>
  </si>
  <si>
    <t xml:space="preserve">FACP (BUILDING A - LEVEL 1) (NOT ON PLAN SET) </t>
  </si>
  <si>
    <t xml:space="preserve">ERRC ID (BUILDING B - LEVEL 1) (ADDED BY FM) </t>
  </si>
  <si>
    <t xml:space="preserve">OZONE SIGN (AMENITY) (ADDED BY INSPECTORS) </t>
  </si>
  <si>
    <t xml:space="preserve">(NOT INDICATED ON ORIGINAL PLAN SET) </t>
  </si>
  <si>
    <t>MAIL ROOM GRAPHICS (ADDED BY RYAN WILLIAMS/MIGUEL ORTEGA) )</t>
  </si>
  <si>
    <t xml:space="preserve">EXISTING STAIR SIGNS PER FM REQUEST </t>
  </si>
  <si>
    <t xml:space="preserve">(SITE NOT READY FOR PERMANENT SIGNS) </t>
  </si>
  <si>
    <t xml:space="preserve">ADDITIONAL  INSTALLATION: TEMP SIGNAGE, ADD-ON SIGNAGE, AND BEING CALLED OUT TO  TROUBLE SHOOT POWER.  </t>
  </si>
  <si>
    <t xml:space="preserve">DISCOVERED ELECTICAL HAD NOT BEEN CONNECTED. REQUIRED BIG CRANE SERVICE. </t>
  </si>
  <si>
    <t xml:space="preserve">BUILDING ADDRESS DIMENSIONAL NUMERALS (MIGUEL ORTEGA) </t>
  </si>
  <si>
    <t>SIGN CHANGES / ADDITIONS DURING INSTALLATION PHASE: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</si>
</sst>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b/>
      <sz val="9"/>
      <color indexed="10"/>
      <name val="Arial Narrow"/>
      <family val="2"/>
    </font>
    <font>
      <sz val="9"/>
      <color indexed="10"/>
      <name val="Verdana"/>
      <family val="2"/>
    </font>
    <font>
      <sz val="9"/>
      <name val="Verdana"/>
      <family val="2"/>
    </font>
    <font>
      <sz val="9"/>
      <color indexed="10"/>
      <name val="Arial Narrow"/>
      <family val="2"/>
    </font>
    <font>
      <b/>
      <sz val="9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4" fontId="3" fillId="0" borderId="0" xfId="1" applyFont="1"/>
    <xf numFmtId="14" fontId="2" fillId="0" borderId="0" xfId="0" applyNumberFormat="1" applyFont="1" applyAlignment="1">
      <alignment horizontal="left"/>
    </xf>
    <xf numFmtId="0" fontId="4" fillId="0" borderId="0" xfId="0" applyFont="1"/>
    <xf numFmtId="44" fontId="3" fillId="0" borderId="0" xfId="1" applyFont="1" applyFill="1"/>
    <xf numFmtId="44" fontId="3" fillId="0" borderId="0" xfId="0" applyNumberFormat="1" applyFont="1"/>
    <xf numFmtId="0" fontId="3" fillId="0" borderId="1" xfId="0" applyFont="1" applyBorder="1"/>
    <xf numFmtId="44" fontId="3" fillId="0" borderId="1" xfId="1" applyFont="1" applyBorder="1"/>
    <xf numFmtId="0" fontId="3" fillId="0" borderId="2" xfId="0" applyFont="1" applyBorder="1"/>
    <xf numFmtId="44" fontId="3" fillId="0" borderId="2" xfId="1" applyFont="1" applyBorder="1"/>
    <xf numFmtId="0" fontId="3" fillId="0" borderId="0" xfId="0" applyFont="1" applyAlignment="1">
      <alignment horizontal="center"/>
    </xf>
    <xf numFmtId="37" fontId="3" fillId="0" borderId="0" xfId="0" quotePrefix="1" applyNumberFormat="1" applyFont="1" applyAlignment="1">
      <alignment horizontal="center"/>
    </xf>
    <xf numFmtId="44" fontId="2" fillId="2" borderId="3" xfId="0" applyNumberFormat="1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44" fontId="3" fillId="2" borderId="3" xfId="1" applyFont="1" applyFill="1" applyBorder="1"/>
    <xf numFmtId="0" fontId="3" fillId="2" borderId="0" xfId="0" applyFont="1" applyFill="1"/>
    <xf numFmtId="44" fontId="2" fillId="2" borderId="0" xfId="0" applyNumberFormat="1" applyFont="1" applyFill="1"/>
    <xf numFmtId="0" fontId="3" fillId="2" borderId="0" xfId="0" applyFont="1" applyFill="1" applyAlignment="1">
      <alignment horizontal="center"/>
    </xf>
    <xf numFmtId="44" fontId="3" fillId="2" borderId="0" xfId="0" applyNumberFormat="1" applyFont="1" applyFill="1"/>
    <xf numFmtId="0" fontId="5" fillId="0" borderId="4" xfId="0" applyFont="1" applyBorder="1"/>
    <xf numFmtId="0" fontId="3" fillId="0" borderId="4" xfId="0" applyFont="1" applyBorder="1"/>
    <xf numFmtId="0" fontId="8" fillId="0" borderId="4" xfId="0" applyFont="1" applyBorder="1"/>
    <xf numFmtId="44" fontId="3" fillId="0" borderId="4" xfId="0" applyNumberFormat="1" applyFont="1" applyBorder="1"/>
    <xf numFmtId="0" fontId="5" fillId="0" borderId="0" xfId="0" applyFont="1"/>
    <xf numFmtId="0" fontId="8" fillId="0" borderId="0" xfId="0" applyFont="1"/>
    <xf numFmtId="0" fontId="2" fillId="3" borderId="5" xfId="0" applyFont="1" applyFill="1" applyBorder="1"/>
    <xf numFmtId="44" fontId="2" fillId="3" borderId="5" xfId="0" applyNumberFormat="1" applyFont="1" applyFill="1" applyBorder="1"/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4EC-A730-784F-9BBF-0A66BF529CB7}">
  <dimension ref="A7:I86"/>
  <sheetViews>
    <sheetView tabSelected="1" view="pageLayout" topLeftCell="A58" zoomScale="110" zoomScaleNormal="100" zoomScalePageLayoutView="110" workbookViewId="0">
      <selection activeCell="A59" sqref="A59:F60"/>
    </sheetView>
  </sheetViews>
  <sheetFormatPr defaultColWidth="11" defaultRowHeight="15.75" x14ac:dyDescent="0.25"/>
  <cols>
    <col min="1" max="1" width="6.125" customWidth="1"/>
    <col min="2" max="2" width="7.625" customWidth="1"/>
  </cols>
  <sheetData>
    <row r="7" spans="1:9" x14ac:dyDescent="0.25">
      <c r="A7" s="1" t="s">
        <v>0</v>
      </c>
      <c r="B7" s="2"/>
      <c r="C7" s="1" t="s">
        <v>23</v>
      </c>
      <c r="D7" s="1"/>
      <c r="E7" s="1"/>
      <c r="F7" s="1"/>
      <c r="G7" s="3"/>
      <c r="H7" s="4"/>
      <c r="I7" s="3"/>
    </row>
    <row r="8" spans="1:9" x14ac:dyDescent="0.25">
      <c r="A8" s="1"/>
      <c r="B8" s="2"/>
      <c r="C8" s="1" t="s">
        <v>24</v>
      </c>
      <c r="D8" s="1"/>
      <c r="E8" s="1"/>
      <c r="F8" s="1"/>
      <c r="G8" s="3"/>
      <c r="H8" s="4"/>
      <c r="I8" s="3"/>
    </row>
    <row r="9" spans="1:9" x14ac:dyDescent="0.25">
      <c r="A9" s="1"/>
      <c r="B9" s="2"/>
      <c r="C9" s="1" t="s">
        <v>25</v>
      </c>
      <c r="D9" s="1"/>
      <c r="E9" s="1"/>
      <c r="F9" s="1"/>
      <c r="G9" s="3"/>
      <c r="H9" s="4"/>
      <c r="I9" s="3"/>
    </row>
    <row r="10" spans="1:9" x14ac:dyDescent="0.25">
      <c r="A10" s="1"/>
      <c r="B10" s="2"/>
      <c r="C10" s="1"/>
      <c r="D10" s="1"/>
      <c r="E10" s="1"/>
      <c r="F10" s="1"/>
      <c r="G10" s="3"/>
      <c r="H10" s="4"/>
      <c r="I10" s="3"/>
    </row>
    <row r="11" spans="1:9" x14ac:dyDescent="0.25">
      <c r="A11" s="1" t="s">
        <v>1</v>
      </c>
      <c r="B11" s="2"/>
      <c r="C11" s="1" t="s">
        <v>26</v>
      </c>
      <c r="D11" s="1"/>
      <c r="E11" s="1"/>
      <c r="F11" s="1"/>
      <c r="G11" s="3"/>
      <c r="H11" s="4"/>
      <c r="I11" s="3"/>
    </row>
    <row r="12" spans="1:9" x14ac:dyDescent="0.25">
      <c r="A12" s="1"/>
      <c r="B12" s="2"/>
      <c r="C12" s="1"/>
      <c r="D12" s="1"/>
      <c r="E12" s="1"/>
      <c r="F12" s="1"/>
      <c r="G12" s="3"/>
      <c r="H12" s="4"/>
      <c r="I12" s="3"/>
    </row>
    <row r="13" spans="1:9" x14ac:dyDescent="0.25">
      <c r="A13" s="1" t="s">
        <v>2</v>
      </c>
      <c r="B13" s="2"/>
      <c r="C13" s="5" t="s">
        <v>27</v>
      </c>
      <c r="D13" s="1"/>
      <c r="E13" s="1"/>
      <c r="F13" s="1"/>
      <c r="G13" s="3"/>
      <c r="H13" s="4"/>
      <c r="I13" s="3"/>
    </row>
    <row r="14" spans="1:9" x14ac:dyDescent="0.25">
      <c r="A14" s="1"/>
      <c r="B14" s="2"/>
      <c r="C14" s="1"/>
      <c r="D14" s="1"/>
      <c r="E14" s="1"/>
      <c r="F14" s="1"/>
      <c r="G14" s="3"/>
      <c r="H14" s="4"/>
      <c r="I14" s="3"/>
    </row>
    <row r="15" spans="1:9" x14ac:dyDescent="0.25">
      <c r="A15" s="1" t="s">
        <v>3</v>
      </c>
      <c r="B15" s="2"/>
      <c r="C15" s="1" t="s">
        <v>28</v>
      </c>
      <c r="D15" s="1"/>
      <c r="E15" s="1"/>
      <c r="F15" s="1"/>
      <c r="G15" s="3"/>
      <c r="H15" s="4"/>
      <c r="I15" s="3"/>
    </row>
    <row r="16" spans="1:9" x14ac:dyDescent="0.25">
      <c r="A16" s="1"/>
      <c r="B16" s="2"/>
      <c r="C16" s="1"/>
      <c r="D16" s="1"/>
      <c r="E16" s="1"/>
      <c r="F16" s="1"/>
      <c r="G16" s="3"/>
      <c r="H16" s="4"/>
      <c r="I16" s="3"/>
    </row>
    <row r="17" spans="1:9" x14ac:dyDescent="0.25">
      <c r="A17" s="6" t="s">
        <v>4</v>
      </c>
      <c r="B17" s="2"/>
      <c r="C17" s="1" t="s">
        <v>29</v>
      </c>
      <c r="D17" s="1"/>
      <c r="E17" s="1"/>
      <c r="F17" s="1"/>
      <c r="G17" s="3"/>
      <c r="H17" s="7"/>
      <c r="I17" s="8"/>
    </row>
    <row r="18" spans="1:9" x14ac:dyDescent="0.25">
      <c r="A18" s="32" t="s">
        <v>50</v>
      </c>
      <c r="B18" s="32"/>
      <c r="C18" s="32"/>
      <c r="D18" s="33"/>
      <c r="E18" s="34"/>
      <c r="F18" s="34"/>
      <c r="G18" s="9"/>
      <c r="H18" s="10"/>
      <c r="I18" s="38">
        <f>SUM(I21:I25)</f>
        <v>-931</v>
      </c>
    </row>
    <row r="19" spans="1:9" x14ac:dyDescent="0.25">
      <c r="A19" s="35"/>
      <c r="B19" s="35"/>
      <c r="C19" s="35"/>
      <c r="D19" s="36"/>
      <c r="E19" s="37"/>
      <c r="F19" s="37"/>
      <c r="G19" s="11"/>
      <c r="H19" s="12"/>
      <c r="I19" s="39"/>
    </row>
    <row r="20" spans="1:9" x14ac:dyDescent="0.25">
      <c r="A20" s="1"/>
      <c r="B20" s="2"/>
      <c r="C20" s="1"/>
      <c r="D20" s="1"/>
      <c r="E20" s="1"/>
      <c r="F20" s="1"/>
      <c r="G20" s="3"/>
      <c r="H20" s="7"/>
      <c r="I20" s="8"/>
    </row>
    <row r="21" spans="1:9" x14ac:dyDescent="0.25">
      <c r="A21" s="3" t="s">
        <v>5</v>
      </c>
      <c r="B21" s="13">
        <v>-1</v>
      </c>
      <c r="C21" s="3" t="s">
        <v>30</v>
      </c>
      <c r="D21" s="3"/>
      <c r="E21" s="3"/>
      <c r="F21" s="3"/>
      <c r="G21" s="8">
        <v>795</v>
      </c>
      <c r="H21" s="7"/>
      <c r="I21" s="8">
        <f t="shared" ref="I21:I23" si="0">G21*B21</f>
        <v>-795</v>
      </c>
    </row>
    <row r="22" spans="1:9" x14ac:dyDescent="0.25">
      <c r="A22" s="3"/>
      <c r="B22" s="13"/>
      <c r="C22" s="3" t="s">
        <v>31</v>
      </c>
      <c r="D22" s="3"/>
      <c r="E22" s="3"/>
      <c r="F22" s="3"/>
      <c r="G22" s="8"/>
      <c r="H22" s="7"/>
      <c r="I22" s="8"/>
    </row>
    <row r="23" spans="1:9" x14ac:dyDescent="0.25">
      <c r="A23" s="3" t="s">
        <v>11</v>
      </c>
      <c r="B23" s="13">
        <v>-1</v>
      </c>
      <c r="C23" s="3" t="s">
        <v>32</v>
      </c>
      <c r="D23" s="3"/>
      <c r="E23" s="3"/>
      <c r="F23" s="3"/>
      <c r="G23" s="8">
        <v>78</v>
      </c>
      <c r="H23" s="7"/>
      <c r="I23" s="8">
        <f t="shared" si="0"/>
        <v>-78</v>
      </c>
    </row>
    <row r="24" spans="1:9" x14ac:dyDescent="0.25">
      <c r="A24" s="3"/>
      <c r="B24" s="13"/>
      <c r="C24" s="3" t="s">
        <v>33</v>
      </c>
      <c r="D24" s="3"/>
      <c r="E24" s="3"/>
      <c r="F24" s="3"/>
      <c r="G24" s="8"/>
      <c r="H24" s="7"/>
      <c r="I24" s="8"/>
    </row>
    <row r="25" spans="1:9" x14ac:dyDescent="0.25">
      <c r="A25" s="3" t="s">
        <v>12</v>
      </c>
      <c r="B25" s="13">
        <v>-1</v>
      </c>
      <c r="C25" s="3" t="s">
        <v>34</v>
      </c>
      <c r="D25" s="3"/>
      <c r="E25" s="3"/>
      <c r="F25" s="3"/>
      <c r="G25" s="8">
        <v>58</v>
      </c>
      <c r="H25" s="7"/>
      <c r="I25" s="8">
        <f>G25*B25</f>
        <v>-58</v>
      </c>
    </row>
    <row r="26" spans="1:9" x14ac:dyDescent="0.25">
      <c r="A26" s="3"/>
      <c r="B26" s="13"/>
      <c r="C26" s="3"/>
      <c r="D26" s="3"/>
      <c r="E26" s="3"/>
      <c r="F26" s="3"/>
      <c r="G26" s="8"/>
      <c r="H26" s="7"/>
      <c r="I26" s="8"/>
    </row>
    <row r="27" spans="1:9" x14ac:dyDescent="0.25">
      <c r="A27" s="3"/>
      <c r="B27" s="14"/>
      <c r="C27" s="3"/>
      <c r="D27" s="3"/>
      <c r="E27" s="3"/>
      <c r="F27" s="3"/>
      <c r="G27" s="8"/>
      <c r="H27" s="4"/>
      <c r="I27" s="4"/>
    </row>
    <row r="28" spans="1:9" x14ac:dyDescent="0.25">
      <c r="A28" s="32" t="s">
        <v>46</v>
      </c>
      <c r="B28" s="32"/>
      <c r="C28" s="32"/>
      <c r="D28" s="33"/>
      <c r="E28" s="34"/>
      <c r="F28" s="34"/>
      <c r="G28" s="9"/>
      <c r="H28" s="10"/>
      <c r="I28" s="38">
        <f>SUM(I31:I45)</f>
        <v>2567</v>
      </c>
    </row>
    <row r="29" spans="1:9" x14ac:dyDescent="0.25">
      <c r="A29" s="35"/>
      <c r="B29" s="35"/>
      <c r="C29" s="35"/>
      <c r="D29" s="36"/>
      <c r="E29" s="37"/>
      <c r="F29" s="37"/>
      <c r="G29" s="11"/>
      <c r="H29" s="12"/>
      <c r="I29" s="39"/>
    </row>
    <row r="30" spans="1:9" x14ac:dyDescent="0.25">
      <c r="A30" s="3"/>
      <c r="B30" s="14"/>
      <c r="C30" s="3"/>
      <c r="D30" s="3"/>
      <c r="E30" s="3"/>
      <c r="F30" s="3"/>
      <c r="G30" s="8"/>
      <c r="H30" s="4"/>
      <c r="I30" s="4"/>
    </row>
    <row r="31" spans="1:9" x14ac:dyDescent="0.25">
      <c r="A31" s="3" t="s">
        <v>5</v>
      </c>
      <c r="B31" s="13">
        <v>1</v>
      </c>
      <c r="C31" s="3" t="s">
        <v>51</v>
      </c>
      <c r="D31" s="3"/>
      <c r="E31" s="3"/>
      <c r="F31" s="3"/>
      <c r="G31" s="8">
        <v>189</v>
      </c>
      <c r="H31" s="7"/>
      <c r="I31" s="8">
        <f t="shared" ref="I31:I74" si="1">G31*B31</f>
        <v>189</v>
      </c>
    </row>
    <row r="32" spans="1:9" x14ac:dyDescent="0.25">
      <c r="A32" s="3" t="s">
        <v>11</v>
      </c>
      <c r="B32" s="13">
        <v>4</v>
      </c>
      <c r="C32" s="3" t="s">
        <v>57</v>
      </c>
      <c r="D32" s="3"/>
      <c r="E32" s="3"/>
      <c r="F32" s="3"/>
      <c r="G32" s="8">
        <v>235</v>
      </c>
      <c r="H32" s="7"/>
      <c r="I32" s="8">
        <f t="shared" si="1"/>
        <v>940</v>
      </c>
    </row>
    <row r="33" spans="1:9" x14ac:dyDescent="0.25">
      <c r="A33" s="3" t="s">
        <v>12</v>
      </c>
      <c r="B33" s="13">
        <v>1</v>
      </c>
      <c r="C33" s="3" t="s">
        <v>35</v>
      </c>
      <c r="D33" s="3"/>
      <c r="E33" s="3"/>
      <c r="F33" s="3"/>
      <c r="G33" s="8">
        <v>48</v>
      </c>
      <c r="H33" s="7"/>
      <c r="I33" s="8">
        <f t="shared" si="1"/>
        <v>48</v>
      </c>
    </row>
    <row r="34" spans="1:9" x14ac:dyDescent="0.25">
      <c r="A34" s="3" t="s">
        <v>13</v>
      </c>
      <c r="B34" s="13">
        <v>1</v>
      </c>
      <c r="C34" s="3" t="s">
        <v>58</v>
      </c>
      <c r="D34" s="3"/>
      <c r="E34" s="3"/>
      <c r="F34" s="3"/>
      <c r="G34" s="8">
        <v>110</v>
      </c>
      <c r="H34" s="7"/>
      <c r="I34" s="8">
        <f t="shared" si="1"/>
        <v>110</v>
      </c>
    </row>
    <row r="35" spans="1:9" x14ac:dyDescent="0.25">
      <c r="A35" s="3" t="s">
        <v>14</v>
      </c>
      <c r="B35" s="13">
        <v>1</v>
      </c>
      <c r="C35" s="3" t="s">
        <v>37</v>
      </c>
      <c r="D35" s="3"/>
      <c r="E35" s="3"/>
      <c r="F35" s="3"/>
      <c r="G35" s="8">
        <v>48</v>
      </c>
      <c r="H35" s="7"/>
      <c r="I35" s="8">
        <f t="shared" si="1"/>
        <v>48</v>
      </c>
    </row>
    <row r="36" spans="1:9" x14ac:dyDescent="0.25">
      <c r="A36" s="3" t="s">
        <v>15</v>
      </c>
      <c r="B36" s="13">
        <v>3</v>
      </c>
      <c r="C36" s="3" t="s">
        <v>38</v>
      </c>
      <c r="D36" s="3"/>
      <c r="E36" s="3"/>
      <c r="F36" s="3"/>
      <c r="G36" s="8">
        <v>48</v>
      </c>
      <c r="H36" s="7"/>
      <c r="I36" s="8">
        <f t="shared" si="1"/>
        <v>144</v>
      </c>
    </row>
    <row r="37" spans="1:9" x14ac:dyDescent="0.25">
      <c r="A37" s="3" t="s">
        <v>16</v>
      </c>
      <c r="B37" s="13">
        <v>1</v>
      </c>
      <c r="C37" s="3" t="s">
        <v>59</v>
      </c>
      <c r="D37" s="3"/>
      <c r="E37" s="3"/>
      <c r="F37" s="3"/>
      <c r="G37" s="8">
        <v>58</v>
      </c>
      <c r="H37" s="7"/>
      <c r="I37" s="8">
        <f t="shared" si="1"/>
        <v>58</v>
      </c>
    </row>
    <row r="38" spans="1:9" x14ac:dyDescent="0.25">
      <c r="A38" s="3" t="s">
        <v>17</v>
      </c>
      <c r="B38" s="13">
        <v>1</v>
      </c>
      <c r="C38" s="3" t="s">
        <v>39</v>
      </c>
      <c r="D38" s="3"/>
      <c r="E38" s="3"/>
      <c r="F38" s="3"/>
      <c r="G38" s="8">
        <v>58</v>
      </c>
      <c r="H38" s="7"/>
      <c r="I38" s="8">
        <f t="shared" si="1"/>
        <v>58</v>
      </c>
    </row>
    <row r="39" spans="1:9" x14ac:dyDescent="0.25">
      <c r="A39" s="3" t="s">
        <v>18</v>
      </c>
      <c r="B39" s="13">
        <v>1</v>
      </c>
      <c r="C39" s="3" t="s">
        <v>40</v>
      </c>
      <c r="D39" s="3"/>
      <c r="E39" s="3"/>
      <c r="F39" s="3"/>
      <c r="G39" s="8">
        <v>48</v>
      </c>
      <c r="H39" s="7"/>
      <c r="I39" s="8">
        <f t="shared" si="1"/>
        <v>48</v>
      </c>
    </row>
    <row r="40" spans="1:9" x14ac:dyDescent="0.25">
      <c r="A40" s="3" t="s">
        <v>19</v>
      </c>
      <c r="B40" s="13">
        <v>4</v>
      </c>
      <c r="C40" s="3" t="s">
        <v>41</v>
      </c>
      <c r="D40" s="3"/>
      <c r="E40" s="3"/>
      <c r="F40" s="3"/>
      <c r="G40" s="8">
        <v>165</v>
      </c>
      <c r="H40" s="7"/>
      <c r="I40" s="8">
        <f t="shared" si="1"/>
        <v>660</v>
      </c>
    </row>
    <row r="41" spans="1:9" x14ac:dyDescent="0.25">
      <c r="A41" s="3" t="s">
        <v>20</v>
      </c>
      <c r="B41" s="13">
        <v>1</v>
      </c>
      <c r="C41" s="3" t="s">
        <v>42</v>
      </c>
      <c r="D41" s="3"/>
      <c r="E41" s="3"/>
      <c r="F41" s="3"/>
      <c r="G41" s="8">
        <v>88</v>
      </c>
      <c r="H41" s="7"/>
      <c r="I41" s="8">
        <f t="shared" si="1"/>
        <v>88</v>
      </c>
    </row>
    <row r="42" spans="1:9" x14ac:dyDescent="0.25">
      <c r="A42" s="3"/>
      <c r="B42" s="13"/>
      <c r="C42" s="3" t="s">
        <v>43</v>
      </c>
      <c r="D42" s="3"/>
      <c r="E42" s="3"/>
      <c r="F42" s="3"/>
      <c r="G42" s="8"/>
      <c r="H42" s="7"/>
      <c r="I42" s="8"/>
    </row>
    <row r="43" spans="1:9" x14ac:dyDescent="0.25">
      <c r="A43" s="3" t="s">
        <v>21</v>
      </c>
      <c r="B43" s="13">
        <v>1</v>
      </c>
      <c r="C43" s="3" t="s">
        <v>60</v>
      </c>
      <c r="D43" s="3"/>
      <c r="E43" s="3"/>
      <c r="F43" s="3"/>
      <c r="G43" s="8">
        <v>88</v>
      </c>
      <c r="H43" s="7"/>
      <c r="I43" s="8">
        <f t="shared" si="1"/>
        <v>88</v>
      </c>
    </row>
    <row r="44" spans="1:9" x14ac:dyDescent="0.25">
      <c r="A44" s="3" t="s">
        <v>22</v>
      </c>
      <c r="B44" s="13">
        <v>1</v>
      </c>
      <c r="C44" s="3" t="s">
        <v>44</v>
      </c>
      <c r="D44" s="3"/>
      <c r="E44" s="3"/>
      <c r="F44" s="3"/>
      <c r="G44" s="8">
        <v>88</v>
      </c>
      <c r="H44" s="7"/>
      <c r="I44" s="8">
        <f t="shared" si="1"/>
        <v>88</v>
      </c>
    </row>
    <row r="45" spans="1:9" x14ac:dyDescent="0.25">
      <c r="A45" s="3"/>
      <c r="B45" s="13"/>
      <c r="C45" s="3"/>
      <c r="D45" s="3"/>
      <c r="E45" s="3"/>
      <c r="F45" s="3"/>
      <c r="G45" s="8"/>
      <c r="H45" s="7"/>
      <c r="I45" s="8"/>
    </row>
    <row r="46" spans="1:9" x14ac:dyDescent="0.25">
      <c r="A46" s="3"/>
      <c r="B46" s="13"/>
      <c r="C46" s="3"/>
      <c r="D46" s="3"/>
      <c r="E46" s="3"/>
      <c r="F46" s="3"/>
      <c r="G46" s="8"/>
      <c r="H46" s="7"/>
      <c r="I46" s="8"/>
    </row>
    <row r="47" spans="1:9" x14ac:dyDescent="0.25">
      <c r="A47" s="3"/>
      <c r="B47" s="13"/>
      <c r="C47" s="3"/>
      <c r="D47" s="3"/>
      <c r="E47" s="3"/>
      <c r="F47" s="3"/>
      <c r="G47" s="8"/>
      <c r="H47" s="7"/>
      <c r="I47" s="8"/>
    </row>
    <row r="48" spans="1:9" x14ac:dyDescent="0.25">
      <c r="A48" s="3"/>
      <c r="B48" s="13"/>
      <c r="C48" s="3"/>
      <c r="D48" s="3"/>
      <c r="E48" s="3"/>
      <c r="F48" s="3"/>
      <c r="G48" s="8"/>
      <c r="H48" s="7"/>
      <c r="I48" s="8"/>
    </row>
    <row r="49" spans="1:9" x14ac:dyDescent="0.25">
      <c r="A49" s="3"/>
      <c r="B49" s="13"/>
      <c r="C49" s="3"/>
      <c r="D49" s="3"/>
      <c r="E49" s="3"/>
      <c r="F49" s="3"/>
      <c r="G49" s="8"/>
      <c r="H49" s="7"/>
      <c r="I49" s="8"/>
    </row>
    <row r="50" spans="1:9" x14ac:dyDescent="0.25">
      <c r="A50" s="3"/>
      <c r="B50" s="13"/>
      <c r="C50" s="3"/>
      <c r="D50" s="3"/>
      <c r="E50" s="3"/>
      <c r="F50" s="3"/>
      <c r="G50" s="8"/>
      <c r="H50" s="7"/>
      <c r="I50" s="8"/>
    </row>
    <row r="51" spans="1:9" x14ac:dyDescent="0.25">
      <c r="A51" s="3"/>
      <c r="B51" s="13"/>
      <c r="C51" s="3"/>
      <c r="D51" s="3"/>
      <c r="E51" s="3"/>
      <c r="F51" s="3"/>
      <c r="G51" s="8"/>
      <c r="H51" s="7"/>
      <c r="I51" s="8"/>
    </row>
    <row r="52" spans="1:9" x14ac:dyDescent="0.25">
      <c r="A52" s="3"/>
      <c r="B52" s="13"/>
      <c r="C52" s="3"/>
      <c r="D52" s="3"/>
      <c r="E52" s="3"/>
      <c r="F52" s="3"/>
      <c r="G52" s="8"/>
      <c r="H52" s="7"/>
      <c r="I52" s="8"/>
    </row>
    <row r="53" spans="1:9" x14ac:dyDescent="0.25">
      <c r="A53" s="3"/>
      <c r="B53" s="13"/>
      <c r="C53" s="3"/>
      <c r="D53" s="3"/>
      <c r="E53" s="3"/>
      <c r="F53" s="3"/>
      <c r="G53" s="8"/>
      <c r="H53" s="7"/>
      <c r="I53" s="8"/>
    </row>
    <row r="54" spans="1:9" x14ac:dyDescent="0.25">
      <c r="A54" s="3"/>
      <c r="B54" s="13"/>
      <c r="C54" s="3"/>
      <c r="D54" s="3"/>
      <c r="E54" s="3"/>
      <c r="F54" s="3"/>
      <c r="G54" s="8"/>
      <c r="H54" s="7"/>
      <c r="I54" s="8"/>
    </row>
    <row r="55" spans="1:9" x14ac:dyDescent="0.25">
      <c r="A55" s="3"/>
      <c r="B55" s="13"/>
      <c r="C55" s="3"/>
      <c r="D55" s="3"/>
      <c r="E55" s="3"/>
      <c r="F55" s="3"/>
      <c r="G55" s="8"/>
      <c r="H55" s="7"/>
      <c r="I55" s="8"/>
    </row>
    <row r="56" spans="1:9" x14ac:dyDescent="0.25">
      <c r="A56" s="3"/>
      <c r="B56" s="13"/>
      <c r="C56" s="3"/>
      <c r="D56" s="3"/>
      <c r="E56" s="3"/>
      <c r="F56" s="3"/>
      <c r="G56" s="8"/>
      <c r="H56" s="7"/>
      <c r="I56" s="8"/>
    </row>
    <row r="57" spans="1:9" x14ac:dyDescent="0.25">
      <c r="A57" s="3"/>
      <c r="B57" s="13"/>
      <c r="C57" s="3"/>
      <c r="D57" s="3"/>
      <c r="E57" s="3"/>
      <c r="F57" s="3"/>
      <c r="G57" s="8"/>
      <c r="H57" s="7"/>
      <c r="I57" s="8"/>
    </row>
    <row r="58" spans="1:9" x14ac:dyDescent="0.25">
      <c r="A58" s="3"/>
      <c r="B58" s="13"/>
      <c r="C58" s="3"/>
      <c r="D58" s="3"/>
      <c r="E58" s="3"/>
      <c r="F58" s="3"/>
      <c r="G58" s="8"/>
      <c r="H58" s="7"/>
      <c r="I58" s="8"/>
    </row>
    <row r="59" spans="1:9" x14ac:dyDescent="0.25">
      <c r="A59" s="32" t="s">
        <v>68</v>
      </c>
      <c r="B59" s="32"/>
      <c r="C59" s="32"/>
      <c r="D59" s="33"/>
      <c r="E59" s="34"/>
      <c r="F59" s="34"/>
      <c r="G59" s="9"/>
      <c r="H59" s="10"/>
      <c r="I59" s="38">
        <f>SUM(I62:I74)</f>
        <v>6036.1</v>
      </c>
    </row>
    <row r="60" spans="1:9" x14ac:dyDescent="0.25">
      <c r="A60" s="35"/>
      <c r="B60" s="35"/>
      <c r="C60" s="35"/>
      <c r="D60" s="36"/>
      <c r="E60" s="37"/>
      <c r="F60" s="37"/>
      <c r="G60" s="11"/>
      <c r="H60" s="12"/>
      <c r="I60" s="39"/>
    </row>
    <row r="61" spans="1:9" x14ac:dyDescent="0.25">
      <c r="A61" s="3"/>
      <c r="B61" s="13"/>
      <c r="C61" s="3"/>
      <c r="D61" s="3"/>
      <c r="E61" s="3"/>
      <c r="F61" s="3"/>
      <c r="G61" s="8"/>
      <c r="H61" s="7"/>
      <c r="I61" s="8"/>
    </row>
    <row r="62" spans="1:9" x14ac:dyDescent="0.25">
      <c r="A62" s="3" t="s">
        <v>52</v>
      </c>
      <c r="B62" s="13">
        <v>16</v>
      </c>
      <c r="C62" s="3" t="s">
        <v>53</v>
      </c>
      <c r="D62" s="3"/>
      <c r="E62" s="3"/>
      <c r="F62" s="3"/>
      <c r="G62" s="8">
        <v>98</v>
      </c>
      <c r="H62" s="7"/>
      <c r="I62" s="8">
        <f t="shared" si="1"/>
        <v>1568</v>
      </c>
    </row>
    <row r="63" spans="1:9" x14ac:dyDescent="0.25">
      <c r="A63" s="3"/>
      <c r="B63" s="13"/>
      <c r="C63" s="3" t="s">
        <v>61</v>
      </c>
      <c r="D63" s="3"/>
      <c r="E63" s="3"/>
      <c r="F63" s="3"/>
      <c r="G63" s="8"/>
      <c r="H63" s="7"/>
      <c r="I63" s="8"/>
    </row>
    <row r="64" spans="1:9" x14ac:dyDescent="0.25">
      <c r="A64" s="3" t="s">
        <v>11</v>
      </c>
      <c r="B64" s="13">
        <v>1</v>
      </c>
      <c r="C64" s="3" t="s">
        <v>62</v>
      </c>
      <c r="D64" s="3"/>
      <c r="E64" s="3"/>
      <c r="F64" s="3"/>
      <c r="G64" s="8">
        <v>950</v>
      </c>
      <c r="H64" s="7"/>
      <c r="I64" s="8">
        <f t="shared" si="1"/>
        <v>950</v>
      </c>
    </row>
    <row r="65" spans="1:9" x14ac:dyDescent="0.25">
      <c r="A65" s="3" t="s">
        <v>12</v>
      </c>
      <c r="B65" s="13">
        <v>15</v>
      </c>
      <c r="C65" s="3" t="s">
        <v>54</v>
      </c>
      <c r="D65" s="3"/>
      <c r="E65" s="3"/>
      <c r="F65" s="3"/>
      <c r="G65" s="8">
        <v>38</v>
      </c>
      <c r="H65" s="7"/>
      <c r="I65" s="8">
        <f t="shared" si="1"/>
        <v>570</v>
      </c>
    </row>
    <row r="66" spans="1:9" x14ac:dyDescent="0.25">
      <c r="A66" s="3"/>
      <c r="B66" s="13"/>
      <c r="C66" s="3" t="s">
        <v>63</v>
      </c>
      <c r="D66" s="3"/>
      <c r="E66" s="3"/>
      <c r="F66" s="3"/>
      <c r="G66" s="8"/>
      <c r="H66" s="7"/>
      <c r="I66" s="8"/>
    </row>
    <row r="67" spans="1:9" x14ac:dyDescent="0.25">
      <c r="A67" s="3" t="s">
        <v>13</v>
      </c>
      <c r="B67" s="13">
        <v>1</v>
      </c>
      <c r="C67" s="3" t="s">
        <v>36</v>
      </c>
      <c r="D67" s="3"/>
      <c r="E67" s="3"/>
      <c r="F67" s="3"/>
      <c r="G67" s="8">
        <v>110</v>
      </c>
      <c r="H67" s="7"/>
      <c r="I67" s="8">
        <f t="shared" si="1"/>
        <v>110</v>
      </c>
    </row>
    <row r="68" spans="1:9" x14ac:dyDescent="0.25">
      <c r="A68" s="3"/>
      <c r="B68" s="13"/>
      <c r="C68" s="3" t="s">
        <v>45</v>
      </c>
      <c r="D68" s="3"/>
      <c r="E68" s="3"/>
      <c r="F68" s="3"/>
      <c r="G68" s="8"/>
      <c r="H68" s="7"/>
      <c r="I68" s="8"/>
    </row>
    <row r="69" spans="1:9" x14ac:dyDescent="0.25">
      <c r="A69" s="3" t="s">
        <v>14</v>
      </c>
      <c r="B69" s="13">
        <v>1</v>
      </c>
      <c r="C69" s="3" t="s">
        <v>67</v>
      </c>
      <c r="D69" s="3"/>
      <c r="E69" s="3"/>
      <c r="F69" s="3"/>
      <c r="G69" s="8">
        <v>710</v>
      </c>
      <c r="H69" s="7"/>
      <c r="I69" s="8">
        <f t="shared" si="1"/>
        <v>710</v>
      </c>
    </row>
    <row r="70" spans="1:9" x14ac:dyDescent="0.25">
      <c r="A70" s="3"/>
      <c r="B70" s="13"/>
      <c r="C70" s="3" t="s">
        <v>55</v>
      </c>
      <c r="D70" s="3"/>
      <c r="E70" s="3"/>
      <c r="F70" s="3"/>
      <c r="G70" s="8"/>
      <c r="H70" s="7"/>
      <c r="I70" s="8"/>
    </row>
    <row r="71" spans="1:9" x14ac:dyDescent="0.25">
      <c r="A71" s="3" t="s">
        <v>15</v>
      </c>
      <c r="B71" s="13">
        <v>1</v>
      </c>
      <c r="C71" s="3" t="s">
        <v>47</v>
      </c>
      <c r="D71" s="3"/>
      <c r="E71" s="3"/>
      <c r="F71" s="3"/>
      <c r="G71" s="8">
        <v>350</v>
      </c>
      <c r="H71" s="7"/>
      <c r="I71" s="8">
        <f t="shared" si="1"/>
        <v>350</v>
      </c>
    </row>
    <row r="72" spans="1:9" x14ac:dyDescent="0.25">
      <c r="A72" s="3" t="s">
        <v>16</v>
      </c>
      <c r="B72" s="13">
        <v>4</v>
      </c>
      <c r="C72" s="3" t="s">
        <v>48</v>
      </c>
      <c r="D72" s="3"/>
      <c r="E72" s="3"/>
      <c r="F72" s="3"/>
      <c r="G72" s="8">
        <v>185</v>
      </c>
      <c r="H72" s="7"/>
      <c r="I72" s="8">
        <f t="shared" si="1"/>
        <v>740</v>
      </c>
    </row>
    <row r="73" spans="1:9" x14ac:dyDescent="0.25">
      <c r="A73" s="3"/>
      <c r="B73" s="13"/>
      <c r="C73" s="3" t="s">
        <v>64</v>
      </c>
      <c r="D73" s="3"/>
      <c r="E73" s="3"/>
      <c r="F73" s="3"/>
      <c r="G73" s="8"/>
      <c r="H73" s="7"/>
      <c r="I73" s="8"/>
    </row>
    <row r="74" spans="1:9" x14ac:dyDescent="0.25">
      <c r="A74" s="3" t="s">
        <v>17</v>
      </c>
      <c r="B74" s="13">
        <v>1</v>
      </c>
      <c r="C74" s="3" t="s">
        <v>49</v>
      </c>
      <c r="D74" s="3"/>
      <c r="E74" s="3"/>
      <c r="F74" s="3"/>
      <c r="G74" s="8">
        <f>300+738.1</f>
        <v>1038.0999999999999</v>
      </c>
      <c r="H74" s="7"/>
      <c r="I74" s="8">
        <f t="shared" si="1"/>
        <v>1038.0999999999999</v>
      </c>
    </row>
    <row r="75" spans="1:9" x14ac:dyDescent="0.25">
      <c r="A75" s="3"/>
      <c r="B75" s="13"/>
      <c r="C75" s="3" t="s">
        <v>56</v>
      </c>
      <c r="D75" s="3"/>
      <c r="E75" s="3"/>
      <c r="F75" s="3"/>
      <c r="G75" s="8"/>
      <c r="H75" s="7"/>
      <c r="I75" s="8"/>
    </row>
    <row r="76" spans="1:9" x14ac:dyDescent="0.25">
      <c r="A76" s="3"/>
      <c r="B76" s="13"/>
      <c r="C76" s="3"/>
      <c r="D76" s="3"/>
      <c r="E76" s="3"/>
      <c r="F76" s="3"/>
      <c r="G76" s="8"/>
      <c r="H76" s="7"/>
      <c r="I76" s="8"/>
    </row>
    <row r="77" spans="1:9" x14ac:dyDescent="0.25">
      <c r="A77" s="3"/>
      <c r="B77" s="13"/>
      <c r="C77" s="3"/>
      <c r="D77" s="3"/>
      <c r="E77" s="3"/>
      <c r="F77" s="3"/>
      <c r="G77" s="8"/>
      <c r="H77" s="7"/>
      <c r="I77" s="8"/>
    </row>
    <row r="78" spans="1:9" x14ac:dyDescent="0.25">
      <c r="A78" s="3"/>
      <c r="B78" s="13"/>
      <c r="C78" s="3"/>
      <c r="D78" s="3"/>
      <c r="E78" s="3"/>
      <c r="F78" s="3"/>
      <c r="G78" s="8"/>
      <c r="H78" s="7"/>
      <c r="I78" s="8"/>
    </row>
    <row r="79" spans="1:9" x14ac:dyDescent="0.25">
      <c r="A79" s="15" t="s">
        <v>6</v>
      </c>
      <c r="B79" s="16"/>
      <c r="C79" s="17"/>
      <c r="D79" s="17"/>
      <c r="E79" s="17"/>
      <c r="F79" s="17"/>
      <c r="G79" s="17"/>
      <c r="H79" s="18"/>
      <c r="I79" s="15">
        <f>I59+I28+I18</f>
        <v>7672.1</v>
      </c>
    </row>
    <row r="80" spans="1:9" x14ac:dyDescent="0.25">
      <c r="A80" s="20" t="s">
        <v>7</v>
      </c>
      <c r="B80" s="21"/>
      <c r="C80" s="19"/>
      <c r="D80" s="19"/>
      <c r="E80" s="19"/>
      <c r="F80" s="19"/>
      <c r="G80" s="19"/>
      <c r="H80" s="22"/>
      <c r="I80" s="22">
        <f>I79*0.0825</f>
        <v>632.94825000000003</v>
      </c>
    </row>
    <row r="81" spans="1:9" x14ac:dyDescent="0.25">
      <c r="A81" s="15" t="s">
        <v>8</v>
      </c>
      <c r="B81" s="16"/>
      <c r="C81" s="17"/>
      <c r="D81" s="17"/>
      <c r="E81" s="17"/>
      <c r="F81" s="17"/>
      <c r="G81" s="17"/>
      <c r="H81" s="18"/>
      <c r="I81" s="15">
        <f>I79+I80</f>
        <v>8305.0482499999998</v>
      </c>
    </row>
    <row r="82" spans="1:9" x14ac:dyDescent="0.25">
      <c r="A82" s="23" t="s">
        <v>65</v>
      </c>
      <c r="B82" s="24"/>
      <c r="C82" s="24"/>
      <c r="D82" s="25"/>
      <c r="E82" s="25"/>
      <c r="F82" s="25"/>
      <c r="G82" s="25"/>
      <c r="H82" s="24"/>
      <c r="I82" s="26">
        <v>3450</v>
      </c>
    </row>
    <row r="83" spans="1:9" x14ac:dyDescent="0.25">
      <c r="A83" s="27"/>
      <c r="B83" s="31" t="s">
        <v>66</v>
      </c>
      <c r="C83" s="3"/>
      <c r="D83" s="28"/>
      <c r="E83" s="28"/>
      <c r="F83" s="28"/>
      <c r="G83" s="28"/>
      <c r="H83" s="3"/>
      <c r="I83" s="8"/>
    </row>
    <row r="84" spans="1:9" x14ac:dyDescent="0.25">
      <c r="A84" s="27" t="s">
        <v>10</v>
      </c>
      <c r="B84" s="3"/>
      <c r="C84" s="3"/>
      <c r="D84" s="28"/>
      <c r="E84" s="28"/>
      <c r="F84" s="28"/>
      <c r="G84" s="28"/>
      <c r="H84" s="3"/>
      <c r="I84" s="8">
        <v>336</v>
      </c>
    </row>
    <row r="85" spans="1:9" ht="16.5" thickBot="1" x14ac:dyDescent="0.3">
      <c r="A85" s="27"/>
      <c r="B85" s="3"/>
      <c r="C85" s="3"/>
      <c r="D85" s="28"/>
      <c r="E85" s="28"/>
      <c r="F85" s="28"/>
      <c r="G85" s="28"/>
      <c r="H85" s="3"/>
      <c r="I85" s="8"/>
    </row>
    <row r="86" spans="1:9" ht="16.5" thickBot="1" x14ac:dyDescent="0.3">
      <c r="A86" s="29" t="s">
        <v>9</v>
      </c>
      <c r="B86" s="29"/>
      <c r="C86" s="29"/>
      <c r="D86" s="29"/>
      <c r="E86" s="29"/>
      <c r="F86" s="29"/>
      <c r="G86" s="29"/>
      <c r="H86" s="29"/>
      <c r="I86" s="30">
        <f>I84+I82+I81</f>
        <v>12091.04825</v>
      </c>
    </row>
  </sheetData>
  <mergeCells count="6">
    <mergeCell ref="A18:F19"/>
    <mergeCell ref="I18:I19"/>
    <mergeCell ref="A28:F29"/>
    <mergeCell ref="I28:I29"/>
    <mergeCell ref="A59:F60"/>
    <mergeCell ref="I59:I60"/>
  </mergeCells>
  <printOptions horizontalCentered="1" verticalCentered="1"/>
  <pageMargins left="0.2" right="0.2" top="0.25" bottom="0.25" header="0.3" footer="0.3"/>
  <pageSetup orientation="portrait" r:id="rId1"/>
  <headerFooter>
    <oddHeader xml:space="preserve">&amp;C&amp;G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Marcia Webster</cp:lastModifiedBy>
  <cp:lastPrinted>2020-04-28T21:06:14Z</cp:lastPrinted>
  <dcterms:created xsi:type="dcterms:W3CDTF">2020-04-28T20:33:40Z</dcterms:created>
  <dcterms:modified xsi:type="dcterms:W3CDTF">2024-10-10T19:29:00Z</dcterms:modified>
</cp:coreProperties>
</file>