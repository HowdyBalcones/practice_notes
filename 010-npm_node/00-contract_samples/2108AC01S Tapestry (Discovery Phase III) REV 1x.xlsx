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ate1904="1"/>
  <mc:AlternateContent xmlns:mc="http://schemas.openxmlformats.org/markup-compatibility/2006">
    <mc:Choice Requires="x15">
      <x15ac:absPath xmlns:x15ac="http://schemas.microsoft.com/office/spreadsheetml/2010/11/ac" url="P:\CONTRACTS\Andres Construction\Tapestry (Discovery PH 3)\"/>
    </mc:Choice>
  </mc:AlternateContent>
  <xr:revisionPtr revIDLastSave="0" documentId="8_{6D000FD9-8358-4C91-8A30-48D7E4BA6B3D}" xr6:coauthVersionLast="47" xr6:coauthVersionMax="47" xr10:uidLastSave="{00000000-0000-0000-0000-000000000000}"/>
  <bookViews>
    <workbookView xWindow="3210" yWindow="915" windowWidth="16230" windowHeight="14685" tabRatio="50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72" i="1" l="1"/>
  <c r="H357" i="1" l="1"/>
  <c r="I307" i="1"/>
  <c r="I328" i="1"/>
  <c r="H356" i="1" s="1"/>
  <c r="I275" i="1"/>
  <c r="I256" i="1"/>
  <c r="I212" i="1"/>
  <c r="I201" i="1"/>
  <c r="I191" i="1"/>
  <c r="I164" i="1"/>
  <c r="I149" i="1"/>
  <c r="I134" i="1"/>
  <c r="I99" i="1"/>
  <c r="I88" i="1"/>
  <c r="I82" i="1"/>
  <c r="I65" i="1"/>
  <c r="I44" i="1"/>
  <c r="I31" i="1"/>
  <c r="I18" i="1"/>
  <c r="I254" i="1"/>
  <c r="I80" i="1"/>
  <c r="I29" i="1"/>
  <c r="G402" i="1"/>
  <c r="F402" i="1"/>
  <c r="I350" i="1"/>
  <c r="I336" i="1"/>
  <c r="I354" i="1"/>
  <c r="I353" i="1"/>
  <c r="I351" i="1"/>
  <c r="I335" i="1"/>
  <c r="I334" i="1"/>
  <c r="I333" i="1"/>
  <c r="I331" i="1"/>
  <c r="I332" i="1"/>
  <c r="I321" i="1"/>
  <c r="I320" i="1"/>
  <c r="I326" i="1"/>
  <c r="I325" i="1"/>
  <c r="I324" i="1"/>
  <c r="I323" i="1"/>
  <c r="I322" i="1"/>
  <c r="I319" i="1"/>
  <c r="I318" i="1"/>
  <c r="I317" i="1"/>
  <c r="I316" i="1"/>
  <c r="I315" i="1"/>
  <c r="I314" i="1"/>
  <c r="I313" i="1"/>
  <c r="I312" i="1"/>
  <c r="I311" i="1"/>
  <c r="I310" i="1"/>
  <c r="I300" i="1"/>
  <c r="I305" i="1"/>
  <c r="I304" i="1"/>
  <c r="I303" i="1"/>
  <c r="I302" i="1"/>
  <c r="I301" i="1"/>
  <c r="I299" i="1"/>
  <c r="I298" i="1"/>
  <c r="I297" i="1"/>
  <c r="I296" i="1"/>
  <c r="I295" i="1"/>
  <c r="I294" i="1"/>
  <c r="I293" i="1"/>
  <c r="I280" i="1"/>
  <c r="I279" i="1"/>
  <c r="I278" i="1"/>
  <c r="I266" i="1"/>
  <c r="I268" i="1"/>
  <c r="I272" i="1"/>
  <c r="I271" i="1"/>
  <c r="I270" i="1"/>
  <c r="I269" i="1"/>
  <c r="I264" i="1"/>
  <c r="G231" i="1"/>
  <c r="F231" i="1"/>
  <c r="I250" i="1"/>
  <c r="I249" i="1"/>
  <c r="I244" i="1"/>
  <c r="I251" i="1"/>
  <c r="I253" i="1"/>
  <c r="I252" i="1"/>
  <c r="I248" i="1"/>
  <c r="I236" i="1"/>
  <c r="I223" i="1"/>
  <c r="I222" i="1"/>
  <c r="I210" i="1"/>
  <c r="I209" i="1"/>
  <c r="I208" i="1"/>
  <c r="I207" i="1"/>
  <c r="I206" i="1"/>
  <c r="I205" i="1"/>
  <c r="I204" i="1"/>
  <c r="I199" i="1"/>
  <c r="I198" i="1"/>
  <c r="I197" i="1"/>
  <c r="I196" i="1"/>
  <c r="I195" i="1"/>
  <c r="I110" i="1"/>
  <c r="I143" i="1"/>
  <c r="I158" i="1"/>
  <c r="I185" i="1"/>
  <c r="I194" i="1"/>
  <c r="I189" i="1"/>
  <c r="I188" i="1"/>
  <c r="I187" i="1"/>
  <c r="I186" i="1"/>
  <c r="I184" i="1"/>
  <c r="I183" i="1"/>
  <c r="I182" i="1"/>
  <c r="I181" i="1"/>
  <c r="I168" i="1"/>
  <c r="I167" i="1"/>
  <c r="I162" i="1"/>
  <c r="I161" i="1"/>
  <c r="I160" i="1"/>
  <c r="I159" i="1"/>
  <c r="I157" i="1"/>
  <c r="I156" i="1"/>
  <c r="I155" i="1"/>
  <c r="I154" i="1"/>
  <c r="I153" i="1"/>
  <c r="I152" i="1"/>
  <c r="I141" i="1"/>
  <c r="I140" i="1"/>
  <c r="I139" i="1"/>
  <c r="I138" i="1"/>
  <c r="I137" i="1"/>
  <c r="I132" i="1"/>
  <c r="I131" i="1"/>
  <c r="I130" i="1"/>
  <c r="I129" i="1"/>
  <c r="I128" i="1"/>
  <c r="I127" i="1"/>
  <c r="I126" i="1"/>
  <c r="I125" i="1"/>
  <c r="I105" i="1"/>
  <c r="I93" i="1"/>
  <c r="I97" i="1"/>
  <c r="I96" i="1"/>
  <c r="I79" i="1"/>
  <c r="I78" i="1"/>
  <c r="I76" i="1"/>
  <c r="I69" i="1"/>
  <c r="I73" i="1"/>
  <c r="F63" i="1"/>
  <c r="G63" i="1"/>
  <c r="I55" i="1"/>
  <c r="I54" i="1"/>
  <c r="I53" i="1"/>
  <c r="I52" i="1"/>
  <c r="I48" i="1"/>
  <c r="I22" i="1"/>
  <c r="I26" i="1"/>
  <c r="I34" i="1"/>
  <c r="I35" i="1"/>
  <c r="I36" i="1"/>
  <c r="I37" i="1"/>
  <c r="I38" i="1"/>
  <c r="I39" i="1"/>
  <c r="I40" i="1"/>
  <c r="I41" i="1"/>
  <c r="I42" i="1"/>
  <c r="I47" i="1"/>
  <c r="I49" i="1"/>
  <c r="I50" i="1"/>
  <c r="I51" i="1"/>
  <c r="I56" i="1"/>
  <c r="I70" i="1"/>
  <c r="I71" i="1"/>
  <c r="I72" i="1"/>
  <c r="I74" i="1"/>
  <c r="I75" i="1"/>
  <c r="I77" i="1"/>
  <c r="I68" i="1"/>
  <c r="I85" i="1"/>
  <c r="I86" i="1"/>
  <c r="I91" i="1"/>
  <c r="I92" i="1"/>
  <c r="I94" i="1"/>
  <c r="I95" i="1"/>
  <c r="I102" i="1"/>
  <c r="I103" i="1"/>
  <c r="I104" i="1"/>
  <c r="I106" i="1"/>
  <c r="I107" i="1"/>
  <c r="I109" i="1"/>
  <c r="I108" i="1"/>
  <c r="I111" i="1"/>
  <c r="I112" i="1"/>
  <c r="I144" i="1"/>
  <c r="I145" i="1"/>
  <c r="I146" i="1"/>
  <c r="I147" i="1"/>
  <c r="I142" i="1"/>
  <c r="I215" i="1"/>
  <c r="I216" i="1"/>
  <c r="I217" i="1"/>
  <c r="I218" i="1"/>
  <c r="I219" i="1"/>
  <c r="I220" i="1"/>
  <c r="I221" i="1"/>
  <c r="I224" i="1"/>
  <c r="I237" i="1"/>
  <c r="I238" i="1"/>
  <c r="I239" i="1"/>
  <c r="I240" i="1"/>
  <c r="I241" i="1"/>
  <c r="I242" i="1"/>
  <c r="I243" i="1"/>
  <c r="I245" i="1"/>
  <c r="I246" i="1"/>
  <c r="I247" i="1"/>
  <c r="I259" i="1"/>
  <c r="I260" i="1"/>
  <c r="I261" i="1"/>
  <c r="I262" i="1"/>
  <c r="I263" i="1"/>
  <c r="I265" i="1"/>
  <c r="I267" i="1"/>
  <c r="I273" i="1"/>
  <c r="G345" i="1"/>
  <c r="F345" i="1"/>
  <c r="G120" i="1"/>
  <c r="F120" i="1"/>
  <c r="G288" i="1"/>
  <c r="F288" i="1"/>
  <c r="G176" i="1"/>
  <c r="F176" i="1"/>
  <c r="G438" i="1"/>
  <c r="G437" i="1"/>
</calcChain>
</file>

<file path=xl/sharedStrings.xml><?xml version="1.0" encoding="utf-8"?>
<sst xmlns="http://schemas.openxmlformats.org/spreadsheetml/2006/main" count="485" uniqueCount="205">
  <si>
    <t>This contract reflects ALL installation trips to property.  The initial installation trip is to occur when the Information Center is to open and consists of Monuments signage, Information Center Interior signage, Information Exterior signage and the surrounding areas, as well as, buildings ready to receive signage.  Our LAST installation trip will consist of punch-out and completion of signage installation.  All signage needs for C.O. purposes that cannot be installed initially will be left on property with the job supervisor to suit his or her needs.  Fource Communications, Ltd. will do its best to coordinate total installation.  The owner, turnover schedules sometimes dictate otherwise, so to avoid any additional billing due to extra site visits, on site personnel will have ability to meet C.O. needs.</t>
  </si>
  <si>
    <t>50% deposit required to begin.  Balance due upon completion and final invoice.  If it becomes necessary for Fource Communications, Ltd. to secure a collections agency and/or attorney to pursue payment, the Client is responsible for any expenses incurred by Fource Communications, Ltd.</t>
  </si>
  <si>
    <t>**</t>
  </si>
  <si>
    <t>A.</t>
    <phoneticPr fontId="2"/>
  </si>
  <si>
    <t>B.</t>
    <phoneticPr fontId="2"/>
  </si>
  <si>
    <t>SUBTOTAL</t>
  </si>
  <si>
    <t>STANDARD PRODUCTION AND FABRICATION TIME IS 4-6 WEEKS FROM COMPLETE SIGNAGE BOOK APPROVAL.</t>
  </si>
  <si>
    <t>PAGE 3</t>
    <phoneticPr fontId="2"/>
  </si>
  <si>
    <t>SIGNAGE PROGRAM:</t>
    <phoneticPr fontId="2"/>
  </si>
  <si>
    <t>QTY.</t>
    <phoneticPr fontId="2"/>
  </si>
  <si>
    <t>DESCRIPTION:</t>
    <phoneticPr fontId="2"/>
  </si>
  <si>
    <t xml:space="preserve">SIGNAGE ADDED AFTER INSTALLATION BEGINS, WILL BE OPENED AS A SEPARATE JOB AND WILL REMAIN OPEN UNTIL AMOUNT IS GREAT ENOUGH TO BILL. </t>
    <phoneticPr fontId="2"/>
  </si>
  <si>
    <t>****</t>
    <phoneticPr fontId="2"/>
  </si>
  <si>
    <t>*****</t>
    <phoneticPr fontId="2"/>
  </si>
  <si>
    <t>******</t>
    <phoneticPr fontId="2"/>
  </si>
  <si>
    <t>ALL ADDITIONAL TRAVEL/INSTALLATION,  ALL SHIPPING/HANDLING OR COURIER CHARGES INCURRED WILL BE BILLED WITHIN THE FINAL NOTICE.</t>
    <phoneticPr fontId="2"/>
  </si>
  <si>
    <r>
      <t>DATE:</t>
    </r>
    <r>
      <rPr>
        <u/>
        <sz val="9"/>
        <rFont val="Gill Sans Light"/>
      </rPr>
      <t xml:space="preserve">                                                            </t>
    </r>
  </si>
  <si>
    <t xml:space="preserve">ARTWORK/PROOFS WILL BEGIN ONCE QUOTE IS SIGNED-OFF AND RECEIVED BY FOURCE. </t>
    <phoneticPr fontId="2"/>
  </si>
  <si>
    <t>TAX (TRAVEL/INSTALLATION AND PERMITS ARE NON-TAXABLE)</t>
  </si>
  <si>
    <t>This quote automatically expires at 5:00 PM of the 30th day from the date set out below.</t>
  </si>
  <si>
    <t>The signatures below serve as a binding contract that both parties agree to the scope of work and the terms and conditions as stated above.</t>
  </si>
  <si>
    <t>MURPHY WEBSTER, III</t>
  </si>
  <si>
    <t>FOURCE COMMUNICATIONS, LTD.</t>
  </si>
  <si>
    <t>DATE:</t>
  </si>
  <si>
    <t>CLIENT:</t>
  </si>
  <si>
    <t>ATTN:</t>
  </si>
  <si>
    <t>QUOTE #:</t>
  </si>
  <si>
    <t>***</t>
  </si>
  <si>
    <t>TERMS:</t>
  </si>
  <si>
    <t>COST PER SIGN</t>
  </si>
  <si>
    <t>TOTAL</t>
  </si>
  <si>
    <t>A.</t>
  </si>
  <si>
    <t>B.</t>
  </si>
  <si>
    <t>C.</t>
  </si>
  <si>
    <t>D.</t>
  </si>
  <si>
    <t>*******</t>
  </si>
  <si>
    <t>1/2 DOWN INSTALLMENT DUE UPON APPROVAL OF CONTRACT.</t>
  </si>
  <si>
    <t>FOURCE COMMUNICATIONS</t>
  </si>
  <si>
    <t>QUOTE #</t>
  </si>
  <si>
    <t>PAGE 4</t>
  </si>
  <si>
    <t>PAGE 5</t>
  </si>
  <si>
    <t>PERMITTING: (FEES BILLED ADDITIONAL AT COSTS)</t>
  </si>
  <si>
    <t>TRAVEL/INSTALLATION (INCLUDES: BOOM TRUCKS, CRANES, &amp; PERSONNEL)</t>
  </si>
  <si>
    <t>PAGE 6</t>
  </si>
  <si>
    <t>BACK HALF WILL BE BILLED UPON INITIAL INSTALL LESS 10%. FINAL RETAINAGE DUE UPON COMPLETION.</t>
  </si>
  <si>
    <t>#1: ENTRY SIGNAGE</t>
  </si>
  <si>
    <t>E.</t>
  </si>
  <si>
    <t>F.</t>
  </si>
  <si>
    <t>G.</t>
  </si>
  <si>
    <t>H.</t>
  </si>
  <si>
    <t>I.</t>
  </si>
  <si>
    <t>J.</t>
  </si>
  <si>
    <t>K.</t>
  </si>
  <si>
    <t>TRASH ID</t>
  </si>
  <si>
    <t>PAGE 2</t>
  </si>
  <si>
    <t>HALLWAY DIRECTIONAL</t>
  </si>
  <si>
    <t>J</t>
  </si>
  <si>
    <t>I</t>
  </si>
  <si>
    <t>HOURS SIGN WITH CHANGEABLE HOURS</t>
  </si>
  <si>
    <t>ADDRESS ID WITH INDIVIDUAL NUMERALS</t>
  </si>
  <si>
    <t>CUSTOM FUTURE RESIDENT PARKING - POLE MOUNT</t>
  </si>
  <si>
    <t>CUSTOM HANDICAP RESIDENT PARKING - POLE MOUNT</t>
  </si>
  <si>
    <t>CUSTOM USPS PARKING - POLE MOUNT</t>
  </si>
  <si>
    <t>FIRE RISER ROOM (4")</t>
  </si>
  <si>
    <t>FDC WITH ADDRESS</t>
  </si>
  <si>
    <t>MEN'S RESTROOM</t>
  </si>
  <si>
    <t>WOMEN'S RESTROOM</t>
  </si>
  <si>
    <t>EMPLOYEES ONLY (BREAKROOM)</t>
  </si>
  <si>
    <t>SPIN ROOM</t>
  </si>
  <si>
    <t>GOLF SIM ID</t>
  </si>
  <si>
    <t>G</t>
  </si>
  <si>
    <t>FITNESS POLICY</t>
  </si>
  <si>
    <t>09.23.21</t>
  </si>
  <si>
    <t>#5: SITE SIGNAGE</t>
  </si>
  <si>
    <t>OVERFLOW PACKAGE ID</t>
  </si>
  <si>
    <t>POOL EQUIPMENT ID</t>
  </si>
  <si>
    <t>H</t>
  </si>
  <si>
    <t>TRASH ROOM ID</t>
  </si>
  <si>
    <t>UNIT DOOR NUMBERS</t>
  </si>
  <si>
    <t>N.</t>
  </si>
  <si>
    <t>O.</t>
  </si>
  <si>
    <t>P.</t>
  </si>
  <si>
    <t>Q.</t>
  </si>
  <si>
    <t>S.</t>
  </si>
  <si>
    <t>R.</t>
  </si>
  <si>
    <t>MAIL CENTER ID (X1 EXT., X1 INT.)</t>
  </si>
  <si>
    <t>L.</t>
  </si>
  <si>
    <t>M.</t>
  </si>
  <si>
    <t>U.</t>
  </si>
  <si>
    <t>OUTDOOR LOUNGE MAX OCCUPANCY</t>
  </si>
  <si>
    <t>OUTDOOR LOUNGE POLICY</t>
  </si>
  <si>
    <t>T.</t>
  </si>
  <si>
    <t>V.</t>
  </si>
  <si>
    <t>FIRE DOOR / DO NOT BLOCK</t>
  </si>
  <si>
    <t>LEASING CENTER SINGLE DOOR VINYL KIT</t>
  </si>
  <si>
    <t>CLEARANCE BAR - ALUMINUM (12' BARS)</t>
  </si>
  <si>
    <t>LEASING CENTER ID (ILLUMINATED)</t>
  </si>
  <si>
    <t>FITNESS BUILDING ID (ILLUMINATED)</t>
  </si>
  <si>
    <t>TAPESTRY</t>
  </si>
  <si>
    <t>(DISCOVERY PHASE III)</t>
  </si>
  <si>
    <t>MANAGER ID W/ BACKER</t>
  </si>
  <si>
    <t>ASSISTANT MANAGER ID W/ BACKER</t>
  </si>
  <si>
    <t>MEN'S RESTROOM (X1 INT, X1 EXT)</t>
  </si>
  <si>
    <t>WOMEN'S RESTROOM (X1 INT, X1 EXT)</t>
  </si>
  <si>
    <t>MAX OCCUPANCY (LEASING, COWORK)</t>
  </si>
  <si>
    <t>CO-WORK ID</t>
  </si>
  <si>
    <t>CO-WORK POLICY- WALL MOUNT</t>
  </si>
  <si>
    <t>MDF</t>
  </si>
  <si>
    <t>MECHANICAL ID</t>
  </si>
  <si>
    <t>UNIDENTIFIED ROOM ID</t>
  </si>
  <si>
    <t>OUTDOOR GYM ID</t>
  </si>
  <si>
    <t>MAX OCCUPANCY (FITNESS)</t>
  </si>
  <si>
    <t>FDC W/ ADDRESS</t>
  </si>
  <si>
    <t>ENTER / EXIT / GATE WARNING SIGN COMBO</t>
  </si>
  <si>
    <t>TRASH COMPACTOR ID/POLICY</t>
  </si>
  <si>
    <t>GARAGE TO BUILDING / STAIR / LEVEL</t>
  </si>
  <si>
    <t>STAIRWELL</t>
  </si>
  <si>
    <r>
      <rPr>
        <b/>
        <sz val="9"/>
        <color theme="1"/>
        <rFont val="Gill Sans Light"/>
      </rPr>
      <t>#7: PARKING GARAGE - LEVEL ONE SIGNAGE</t>
    </r>
    <r>
      <rPr>
        <b/>
        <sz val="9"/>
        <color rgb="FF00B0F0"/>
        <rFont val="Gill Sans Light"/>
      </rPr>
      <t xml:space="preserve"> </t>
    </r>
    <r>
      <rPr>
        <b/>
        <sz val="9"/>
        <color rgb="FFFF0000"/>
        <rFont val="Gill Sans Light"/>
      </rPr>
      <t>*ADA/BRAILLE WHERE APPLICABLE</t>
    </r>
  </si>
  <si>
    <r>
      <rPr>
        <b/>
        <sz val="9"/>
        <color theme="1"/>
        <rFont val="Gill Sans Light"/>
      </rPr>
      <t>#8: PARKING GARAGE - LEVEL TWO SIGNAGE</t>
    </r>
    <r>
      <rPr>
        <b/>
        <sz val="9"/>
        <color rgb="FFFF0000"/>
        <rFont val="Gill Sans Light"/>
      </rPr>
      <t>*ADA/BRAILLE WHERE APPLICABLE</t>
    </r>
  </si>
  <si>
    <r>
      <rPr>
        <b/>
        <sz val="9"/>
        <color theme="1"/>
        <rFont val="Gill Sans Light"/>
      </rPr>
      <t>#9: PARKING GARAGE - LEVEL THREE SIGNAGE</t>
    </r>
    <r>
      <rPr>
        <b/>
        <sz val="9"/>
        <color rgb="FF00B0F0"/>
        <rFont val="Gill Sans Light"/>
      </rPr>
      <t xml:space="preserve"> </t>
    </r>
    <r>
      <rPr>
        <b/>
        <sz val="9"/>
        <color rgb="FFFF0000"/>
        <rFont val="Gill Sans Light"/>
      </rPr>
      <t>*ADA/BRAILLE WHERE APPLICABLE</t>
    </r>
  </si>
  <si>
    <r>
      <rPr>
        <b/>
        <sz val="9"/>
        <color theme="1"/>
        <rFont val="Gill Sans Light"/>
      </rPr>
      <t>#10: PARKING GARAGE - LEVEL FOUR SIGNAGE</t>
    </r>
    <r>
      <rPr>
        <b/>
        <sz val="9"/>
        <color rgb="FF00B0F0"/>
        <rFont val="Gill Sans Light"/>
      </rPr>
      <t xml:space="preserve"> </t>
    </r>
    <r>
      <rPr>
        <b/>
        <sz val="9"/>
        <color rgb="FFFF0000"/>
        <rFont val="Gill Sans Light"/>
      </rPr>
      <t>*ADA/BRAILLE WHERE APPLICABLE</t>
    </r>
  </si>
  <si>
    <r>
      <rPr>
        <b/>
        <sz val="9"/>
        <color theme="1"/>
        <rFont val="Gill Sans Light"/>
      </rPr>
      <t>#11: PARKING GARAGE - LEVEL FIVE SIGNAGE</t>
    </r>
    <r>
      <rPr>
        <b/>
        <sz val="9"/>
        <color rgb="FF00B0F0"/>
        <rFont val="Gill Sans Light"/>
      </rPr>
      <t xml:space="preserve"> </t>
    </r>
    <r>
      <rPr>
        <b/>
        <sz val="9"/>
        <color rgb="FFFF0000"/>
        <rFont val="Gill Sans Light"/>
      </rPr>
      <t>*ADA/BRAILLE WHERE APPLICABLE</t>
    </r>
  </si>
  <si>
    <r>
      <t xml:space="preserve">#4:  FITNESS CENTER </t>
    </r>
    <r>
      <rPr>
        <b/>
        <sz val="9"/>
        <color rgb="FFFF0000"/>
        <rFont val="Gill Sans Light"/>
      </rPr>
      <t>*ADA/BRAILLE WHERE APPLICABLE</t>
    </r>
  </si>
  <si>
    <r>
      <rPr>
        <b/>
        <sz val="9"/>
        <color theme="1"/>
        <rFont val="Gill Sans Light"/>
      </rPr>
      <t xml:space="preserve">#6: PARKING GARAGE - TERRACE LEVEL SIGNAGE </t>
    </r>
    <r>
      <rPr>
        <b/>
        <sz val="9"/>
        <color rgb="FFFF0000"/>
        <rFont val="Gill Sans Light"/>
      </rPr>
      <t>*ADA/BRAILLE WHERE APPLICABLE</t>
    </r>
  </si>
  <si>
    <t>BUILDING MAINTENANCE ID</t>
  </si>
  <si>
    <t>BIKE MAINTENANCE ID</t>
  </si>
  <si>
    <t>STORAGE ID</t>
  </si>
  <si>
    <t>BUILDING TO GARAGE (@STAIR)</t>
  </si>
  <si>
    <t>GARAGE TO BUILDING / STAIR / LOBBY</t>
  </si>
  <si>
    <t>STAIR / LEVEL</t>
  </si>
  <si>
    <t>GARAGE TO BUILDING (X1 @ STAIR 6 LOBBY)</t>
  </si>
  <si>
    <t>TRASH POLICY - WALL MOUNT</t>
  </si>
  <si>
    <t>TRASH CHUTE ICON</t>
  </si>
  <si>
    <t>RECYCLE CHUTE ICON</t>
  </si>
  <si>
    <t>TRASH PICK-UP / DO NOT BLOCK</t>
  </si>
  <si>
    <t>DOG GROOMING ID</t>
  </si>
  <si>
    <t>DOG GROOMING POLICY - WALL MOUNT</t>
  </si>
  <si>
    <t>FIRE PUMP ROOM (4")</t>
  </si>
  <si>
    <t xml:space="preserve">GARAGE TO BUILDING </t>
  </si>
  <si>
    <t>ELEVATOR EGRESS MAP / DO NOT USE</t>
  </si>
  <si>
    <r>
      <rPr>
        <b/>
        <sz val="9"/>
        <color theme="1"/>
        <rFont val="Gill Sans Light"/>
      </rPr>
      <t>#10: PARKING GARAGE - LEVEL FOUR SIGNAGE CONT.</t>
    </r>
    <r>
      <rPr>
        <b/>
        <sz val="9"/>
        <color rgb="FF00B0F0"/>
        <rFont val="Gill Sans Light"/>
      </rPr>
      <t xml:space="preserve"> </t>
    </r>
    <r>
      <rPr>
        <b/>
        <sz val="9"/>
        <color rgb="FFFF0000"/>
        <rFont val="Gill Sans Light"/>
      </rPr>
      <t>*ADA/BRAILLE WHERE APPLICABLE</t>
    </r>
  </si>
  <si>
    <t>GARAGE TO BUILDING / STAIR / ELEVATOR LOBBY</t>
  </si>
  <si>
    <t>BUILDING TO GARAGE</t>
  </si>
  <si>
    <r>
      <rPr>
        <b/>
        <sz val="9"/>
        <color theme="1"/>
        <rFont val="Gill Sans Light"/>
      </rPr>
      <t>#12: PARKING GARAGE - LEVEL SIX SIGNAGE</t>
    </r>
    <r>
      <rPr>
        <b/>
        <sz val="9"/>
        <color rgb="FF00B0F0"/>
        <rFont val="Gill Sans Light"/>
      </rPr>
      <t xml:space="preserve"> </t>
    </r>
    <r>
      <rPr>
        <b/>
        <sz val="9"/>
        <color rgb="FFFF0000"/>
        <rFont val="Gill Sans Light"/>
      </rPr>
      <t>*ADA/BRAILLE WHERE APPLICABLE</t>
    </r>
  </si>
  <si>
    <r>
      <rPr>
        <b/>
        <sz val="9"/>
        <color theme="1"/>
        <rFont val="Gill Sans Light"/>
      </rPr>
      <t>#13: BUILDING - LEVEL ONE SIGNAGE</t>
    </r>
    <r>
      <rPr>
        <b/>
        <sz val="9"/>
        <color rgb="FF00B0F0"/>
        <rFont val="Gill Sans Light"/>
      </rPr>
      <t xml:space="preserve"> </t>
    </r>
    <r>
      <rPr>
        <b/>
        <sz val="9"/>
        <color rgb="FFFF0000"/>
        <rFont val="Gill Sans Light"/>
      </rPr>
      <t>*ADA/BRAILLE WHERE APPLICABLE</t>
    </r>
  </si>
  <si>
    <t>BUILDING ID W/ UNIT SPREAD</t>
  </si>
  <si>
    <t>RESIDENT STORAGE ID</t>
  </si>
  <si>
    <t>TELECOM / MDF ID</t>
  </si>
  <si>
    <t>BUILDING TO GARAGE / STAIR / ELEVATOR LOBBY</t>
  </si>
  <si>
    <t>BUILDING TO GARAGE / STAIR LOBBY</t>
  </si>
  <si>
    <t>W.</t>
  </si>
  <si>
    <t>X.</t>
  </si>
  <si>
    <t>STAIR ACCESS EXT.</t>
  </si>
  <si>
    <t>BUILDING ACCESS EXT.</t>
  </si>
  <si>
    <t>METER MAP (EXT)</t>
  </si>
  <si>
    <t>PACKAGE ROOM ID</t>
  </si>
  <si>
    <t>Y.</t>
  </si>
  <si>
    <t>OUTDOOR LOUNGE ID</t>
  </si>
  <si>
    <t>Z.</t>
  </si>
  <si>
    <t>TRASH ROOM POLICY - WALL MOUNT</t>
  </si>
  <si>
    <t>AA.</t>
  </si>
  <si>
    <t>BB.</t>
  </si>
  <si>
    <t xml:space="preserve">BUILDING TO GARAGE </t>
  </si>
  <si>
    <t>TELECOM ID</t>
  </si>
  <si>
    <t>ELEVATOR CONTROL ROOM ID</t>
  </si>
  <si>
    <t>WARNING NO LIFEGUARD / NO DIVING</t>
  </si>
  <si>
    <t>911 EMERGENCY PHONE SIGN</t>
  </si>
  <si>
    <t>DOG PARK ID / POLICY - FENCE MOUNT</t>
  </si>
  <si>
    <t>FIRE PIT GUIDELINES PLAQUE</t>
  </si>
  <si>
    <t>POOL HOURS ON VINYL (X1 @ LEASING, X1 @ FITNESS)</t>
  </si>
  <si>
    <t>GRILL POLICIES - LOADS TO STRUCTURE (X2 @ COURTYARD,</t>
  </si>
  <si>
    <t xml:space="preserve"> X1 @ SMALL POOL)</t>
  </si>
  <si>
    <t>ADDT. TX 2023 POOL POLICY - FENCE MOUNT (X1 @ EA. POOL)</t>
  </si>
  <si>
    <t>POOL POLICY - FENCE MOUNT (X1 @ EA. POOL)</t>
  </si>
  <si>
    <t>PAGE 7</t>
  </si>
  <si>
    <t>PAGE 8</t>
  </si>
  <si>
    <r>
      <rPr>
        <b/>
        <sz val="9"/>
        <color theme="1"/>
        <rFont val="Gill Sans Light"/>
      </rPr>
      <t>#13: BUILDING - LEVEL ONE SIGNAGE CONT.</t>
    </r>
    <r>
      <rPr>
        <b/>
        <sz val="9"/>
        <color rgb="FFFF0000"/>
        <rFont val="Gill Sans Light"/>
      </rPr>
      <t>*ADA/BRAILLE WHERE APPLICABLE</t>
    </r>
  </si>
  <si>
    <r>
      <rPr>
        <b/>
        <sz val="9"/>
        <color theme="1"/>
        <rFont val="Gill Sans Light"/>
      </rPr>
      <t>#14: BUILDING - LEVEL TWO SIGNAGE</t>
    </r>
    <r>
      <rPr>
        <b/>
        <sz val="9"/>
        <color rgb="FF00B0F0"/>
        <rFont val="Gill Sans Light"/>
      </rPr>
      <t xml:space="preserve"> </t>
    </r>
    <r>
      <rPr>
        <b/>
        <sz val="9"/>
        <color rgb="FFFF0000"/>
        <rFont val="Gill Sans Light"/>
      </rPr>
      <t>*ADA/BRAILLE WHERE APPLICABLE</t>
    </r>
  </si>
  <si>
    <r>
      <rPr>
        <b/>
        <sz val="9"/>
        <color theme="1"/>
        <rFont val="Gill Sans Light"/>
      </rPr>
      <t>#15: BUILDING - LEVEL THREE SIGNAGE</t>
    </r>
    <r>
      <rPr>
        <b/>
        <sz val="9"/>
        <color rgb="FF00B0F0"/>
        <rFont val="Gill Sans Light"/>
      </rPr>
      <t xml:space="preserve"> </t>
    </r>
    <r>
      <rPr>
        <b/>
        <sz val="9"/>
        <color rgb="FFFF0000"/>
        <rFont val="Gill Sans Light"/>
      </rPr>
      <t>*ADA/BRAILLE WHERE APPLICABLE</t>
    </r>
  </si>
  <si>
    <r>
      <rPr>
        <b/>
        <sz val="9"/>
        <color theme="1"/>
        <rFont val="Gill Sans Light"/>
      </rPr>
      <t>#15: BUILDING - LEVEL THREE SIGNAGE CONT.</t>
    </r>
    <r>
      <rPr>
        <b/>
        <sz val="9"/>
        <color rgb="FF00B0F0"/>
        <rFont val="Gill Sans Light"/>
      </rPr>
      <t xml:space="preserve"> </t>
    </r>
    <r>
      <rPr>
        <b/>
        <sz val="9"/>
        <color rgb="FFFF0000"/>
        <rFont val="Gill Sans Light"/>
      </rPr>
      <t>*ADA/BRAILLE WHERE APPLICABLE</t>
    </r>
  </si>
  <si>
    <r>
      <rPr>
        <b/>
        <sz val="9"/>
        <color theme="1"/>
        <rFont val="Gill Sans Light"/>
      </rPr>
      <t>#16: BUILDING - LEVEL FOUR SIGNAGE</t>
    </r>
    <r>
      <rPr>
        <b/>
        <sz val="9"/>
        <color rgb="FF00B0F0"/>
        <rFont val="Gill Sans Light"/>
      </rPr>
      <t xml:space="preserve"> </t>
    </r>
    <r>
      <rPr>
        <b/>
        <sz val="9"/>
        <color rgb="FFFF0000"/>
        <rFont val="Gill Sans Light"/>
      </rPr>
      <t>*ADA/BRAILLE WHERE APPLICABLE</t>
    </r>
  </si>
  <si>
    <t>#17: AMENITY SIGNAGE</t>
  </si>
  <si>
    <t>ILLUMINATED DOUBLE FACE MONUMENT DROP-IN</t>
  </si>
  <si>
    <t xml:space="preserve">LOCATED AT CORNER OF LADY BETTYE DR. AND </t>
  </si>
  <si>
    <t>*FOOTER AND POWER TO LOCATION BY OTHERS*</t>
  </si>
  <si>
    <t>LEASING ENTRY DRIVE. PER L1.03</t>
  </si>
  <si>
    <t xml:space="preserve">ILLUMINATED PARAPET WALL SIGN ON </t>
  </si>
  <si>
    <t>WEST OR NORTH ELEVATION</t>
  </si>
  <si>
    <t>*BLOCKING AND POWER TO LOCATION BY OTHERS*</t>
  </si>
  <si>
    <t>MONOLITH STYLE DIRECTIONAL</t>
  </si>
  <si>
    <t>#2: LEASING CENTER - EXTERIOR SIGNAGE</t>
  </si>
  <si>
    <t>#3: LEASING CENTER - INTERIOR SIGNAGE</t>
  </si>
  <si>
    <t>FITNESS CENTER ADDRESS</t>
  </si>
  <si>
    <t>CC.</t>
  </si>
  <si>
    <t>FACP SIGN (VERIFY LOCATION)</t>
  </si>
  <si>
    <t>POOL GATE W/ HOURS &amp; 911 DIRECTIONAL (BIG BLDG)</t>
  </si>
  <si>
    <t>POOL EQUIPMENT ID (X1 PER POOL)</t>
  </si>
  <si>
    <t>#17: AMENITY SIGNAGE CONT.</t>
  </si>
  <si>
    <t xml:space="preserve">TOTAL </t>
  </si>
  <si>
    <t>01.19.23 REV 1</t>
  </si>
  <si>
    <t>ANDRES CONSTRUCTION SERVICES LLC (Construction Manager / General Contractor)</t>
  </si>
  <si>
    <t xml:space="preserve">3710 Rawlins Street Suite 1510 | </t>
  </si>
  <si>
    <t>Dallas, Texas 75219</t>
  </si>
  <si>
    <t>Kyle Washington (Project manager)</t>
  </si>
  <si>
    <t>2108AC01S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</si>
</sst>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4">
    <font>
      <sz val="10"/>
      <name val="Verdana"/>
    </font>
    <font>
      <sz val="10"/>
      <name val="Verdana"/>
      <family val="2"/>
    </font>
    <font>
      <sz val="8"/>
      <name val="Verdana"/>
      <family val="2"/>
    </font>
    <font>
      <sz val="10"/>
      <name val="Gill Sans Light"/>
    </font>
    <font>
      <sz val="8"/>
      <name val="Gill Sans Light"/>
    </font>
    <font>
      <sz val="9"/>
      <name val="Gill Sans Light"/>
    </font>
    <font>
      <b/>
      <sz val="9"/>
      <name val="Gill Sans Light"/>
    </font>
    <font>
      <sz val="9"/>
      <name val="Verdana"/>
      <family val="2"/>
    </font>
    <font>
      <b/>
      <sz val="9"/>
      <name val="Verdana"/>
      <family val="2"/>
    </font>
    <font>
      <u/>
      <sz val="9"/>
      <name val="Gill Sans Light"/>
    </font>
    <font>
      <b/>
      <sz val="9"/>
      <color rgb="FFFF0000"/>
      <name val="Gill Sans Light"/>
    </font>
    <font>
      <b/>
      <sz val="9"/>
      <color rgb="FF00B0F0"/>
      <name val="Gill Sans Light"/>
    </font>
    <font>
      <sz val="14"/>
      <name val="Gill Sans Light"/>
    </font>
    <font>
      <b/>
      <sz val="9"/>
      <color theme="1"/>
      <name val="Gill Sans Light"/>
    </font>
  </fonts>
  <fills count="2">
    <fill>
      <patternFill patternType="none"/>
    </fill>
    <fill>
      <patternFill patternType="gray125"/>
    </fill>
  </fills>
  <borders count="6">
    <border>
      <left/>
      <right/>
      <top/>
      <bottom/>
      <diagonal/>
    </border>
    <border>
      <left/>
      <right/>
      <top style="dotted">
        <color indexed="64"/>
      </top>
      <bottom/>
      <diagonal/>
    </border>
    <border>
      <left/>
      <right/>
      <top/>
      <bottom style="dotted">
        <color indexed="64"/>
      </bottom>
      <diagonal/>
    </border>
    <border>
      <left/>
      <right/>
      <top style="double">
        <color indexed="64"/>
      </top>
      <bottom/>
      <diagonal/>
    </border>
    <border>
      <left/>
      <right/>
      <top/>
      <bottom style="double">
        <color indexed="64"/>
      </bottom>
      <diagonal/>
    </border>
    <border>
      <left/>
      <right/>
      <top style="thin">
        <color indexed="64"/>
      </top>
      <bottom/>
      <diagonal/>
    </border>
  </borders>
  <cellStyleXfs count="2">
    <xf numFmtId="0" fontId="0" fillId="0" borderId="0"/>
    <xf numFmtId="44" fontId="1" fillId="0" borderId="0" applyFont="0" applyFill="0" applyBorder="0" applyAlignment="0" applyProtection="0"/>
  </cellStyleXfs>
  <cellXfs count="83">
    <xf numFmtId="0" fontId="0" fillId="0" borderId="0" xfId="0"/>
    <xf numFmtId="0" fontId="3" fillId="0" borderId="0" xfId="0" applyFont="1"/>
    <xf numFmtId="0" fontId="5" fillId="0" borderId="0" xfId="0" applyFont="1"/>
    <xf numFmtId="0" fontId="6" fillId="0" borderId="0" xfId="0" applyFont="1"/>
    <xf numFmtId="0" fontId="6" fillId="0" borderId="0" xfId="0" applyFont="1" applyAlignment="1">
      <alignment horizontal="center"/>
    </xf>
    <xf numFmtId="44" fontId="5" fillId="0" borderId="0" xfId="1" applyFont="1"/>
    <xf numFmtId="44" fontId="5" fillId="0" borderId="1" xfId="1" applyFont="1" applyBorder="1"/>
    <xf numFmtId="44" fontId="5" fillId="0" borderId="2" xfId="1" applyFont="1" applyBorder="1"/>
    <xf numFmtId="0" fontId="5" fillId="0" borderId="0" xfId="0" applyFont="1" applyAlignment="1">
      <alignment horizontal="center" vertical="center"/>
    </xf>
    <xf numFmtId="0" fontId="5" fillId="0" borderId="0" xfId="0" applyFont="1" applyAlignment="1">
      <alignment horizontal="left" vertical="center"/>
    </xf>
    <xf numFmtId="0" fontId="5" fillId="0" borderId="0" xfId="0" applyFont="1" applyAlignment="1">
      <alignment horizontal="center"/>
    </xf>
    <xf numFmtId="37" fontId="5" fillId="0" borderId="0" xfId="0" quotePrefix="1" applyNumberFormat="1" applyFont="1" applyAlignment="1">
      <alignment horizontal="center"/>
    </xf>
    <xf numFmtId="0" fontId="5" fillId="0" borderId="1" xfId="0" applyFont="1" applyBorder="1"/>
    <xf numFmtId="44" fontId="5" fillId="0" borderId="1" xfId="0" applyNumberFormat="1" applyFont="1" applyBorder="1"/>
    <xf numFmtId="0" fontId="5" fillId="0" borderId="2" xfId="0" applyFont="1" applyBorder="1"/>
    <xf numFmtId="44" fontId="5" fillId="0" borderId="2" xfId="0" applyNumberFormat="1" applyFont="1" applyBorder="1"/>
    <xf numFmtId="0" fontId="5" fillId="0" borderId="0" xfId="0" quotePrefix="1" applyFont="1" applyAlignment="1">
      <alignment horizontal="center"/>
    </xf>
    <xf numFmtId="44" fontId="5" fillId="0" borderId="0" xfId="1" applyFont="1" applyAlignment="1"/>
    <xf numFmtId="44" fontId="5" fillId="0" borderId="0" xfId="0" applyNumberFormat="1" applyFont="1"/>
    <xf numFmtId="0" fontId="5" fillId="0" borderId="0" xfId="0" applyFont="1" applyAlignment="1">
      <alignment horizontal="left"/>
    </xf>
    <xf numFmtId="0" fontId="5" fillId="0" borderId="1" xfId="0" applyFont="1" applyBorder="1" applyAlignment="1">
      <alignment horizontal="center" vertical="center"/>
    </xf>
    <xf numFmtId="0" fontId="5" fillId="0" borderId="2" xfId="0" applyFont="1" applyBorder="1" applyAlignment="1">
      <alignment horizontal="center" vertical="center"/>
    </xf>
    <xf numFmtId="44" fontId="5" fillId="0" borderId="0" xfId="0" applyNumberFormat="1" applyFont="1" applyAlignment="1">
      <alignment horizontal="center" vertical="center"/>
    </xf>
    <xf numFmtId="44" fontId="5" fillId="0" borderId="0" xfId="0" applyNumberFormat="1" applyFont="1" applyAlignment="1">
      <alignment horizontal="center"/>
    </xf>
    <xf numFmtId="0" fontId="5" fillId="0" borderId="0" xfId="0" applyFont="1" applyAlignment="1">
      <alignment vertical="top"/>
    </xf>
    <xf numFmtId="0" fontId="6" fillId="0" borderId="1" xfId="0" applyFont="1" applyBorder="1"/>
    <xf numFmtId="44" fontId="6" fillId="0" borderId="1" xfId="0" applyNumberFormat="1" applyFont="1" applyBorder="1"/>
    <xf numFmtId="0" fontId="6" fillId="0" borderId="2" xfId="0" applyFont="1" applyBorder="1"/>
    <xf numFmtId="44" fontId="6" fillId="0" borderId="2" xfId="0" applyNumberFormat="1" applyFont="1" applyBorder="1"/>
    <xf numFmtId="44" fontId="6" fillId="0" borderId="0" xfId="0" applyNumberFormat="1" applyFont="1"/>
    <xf numFmtId="0" fontId="5" fillId="0" borderId="1" xfId="0" applyFont="1" applyBorder="1" applyAlignment="1">
      <alignment horizontal="center"/>
    </xf>
    <xf numFmtId="0" fontId="5" fillId="0" borderId="3" xfId="0" applyFont="1" applyBorder="1"/>
    <xf numFmtId="0" fontId="5" fillId="0" borderId="4" xfId="0" applyFont="1" applyBorder="1"/>
    <xf numFmtId="0" fontId="5" fillId="0" borderId="0" xfId="0" applyFont="1" applyAlignment="1">
      <alignment horizontal="right"/>
    </xf>
    <xf numFmtId="0" fontId="6" fillId="0" borderId="0" xfId="0" applyFont="1" applyAlignment="1">
      <alignment horizontal="left" vertical="top"/>
    </xf>
    <xf numFmtId="44" fontId="6" fillId="0" borderId="0" xfId="1" applyFont="1" applyAlignment="1">
      <alignment horizontal="left" vertical="top"/>
    </xf>
    <xf numFmtId="44" fontId="6" fillId="0" borderId="0" xfId="1" applyFont="1"/>
    <xf numFmtId="0" fontId="5" fillId="0" borderId="0" xfId="0" applyFont="1" applyAlignment="1">
      <alignment horizontal="left" vertical="top"/>
    </xf>
    <xf numFmtId="0" fontId="5" fillId="0" borderId="5" xfId="0" applyFont="1" applyBorder="1"/>
    <xf numFmtId="44" fontId="5" fillId="0" borderId="0" xfId="0" applyNumberFormat="1" applyFont="1" applyAlignment="1">
      <alignment horizontal="right"/>
    </xf>
    <xf numFmtId="0" fontId="6" fillId="0" borderId="1" xfId="0" applyFont="1" applyBorder="1" applyAlignment="1">
      <alignment vertical="center"/>
    </xf>
    <xf numFmtId="0" fontId="6" fillId="0" borderId="2" xfId="0" applyFont="1" applyBorder="1" applyAlignment="1">
      <alignment vertical="center"/>
    </xf>
    <xf numFmtId="0" fontId="5" fillId="0" borderId="0" xfId="0" quotePrefix="1" applyFont="1"/>
    <xf numFmtId="0" fontId="6" fillId="0" borderId="0" xfId="0" applyFont="1" applyAlignment="1">
      <alignment horizontal="left" vertical="center"/>
    </xf>
    <xf numFmtId="0" fontId="6" fillId="0" borderId="0" xfId="0" applyFont="1" applyAlignment="1">
      <alignment horizontal="center" vertical="center"/>
    </xf>
    <xf numFmtId="0" fontId="12" fillId="0" borderId="0" xfId="0" applyFont="1" applyAlignment="1">
      <alignment vertical="center"/>
    </xf>
    <xf numFmtId="44" fontId="5" fillId="0" borderId="0" xfId="0" applyNumberFormat="1" applyFont="1" applyAlignment="1">
      <alignment horizontal="left" vertical="center"/>
    </xf>
    <xf numFmtId="44" fontId="5" fillId="0" borderId="0" xfId="1" applyFont="1" applyFill="1"/>
    <xf numFmtId="44" fontId="8" fillId="0" borderId="0" xfId="0" applyNumberFormat="1" applyFont="1" applyAlignment="1">
      <alignment horizontal="center" vertical="center"/>
    </xf>
    <xf numFmtId="44" fontId="5" fillId="0" borderId="0" xfId="1" applyFont="1" applyBorder="1"/>
    <xf numFmtId="44" fontId="6" fillId="0" borderId="0" xfId="0" applyNumberFormat="1" applyFont="1" applyAlignment="1">
      <alignment horizontal="center" vertical="center"/>
    </xf>
    <xf numFmtId="44" fontId="5" fillId="0" borderId="0" xfId="1" applyFont="1" applyAlignment="1">
      <alignment horizontal="right"/>
    </xf>
    <xf numFmtId="0" fontId="13" fillId="0" borderId="0" xfId="0" applyFont="1" applyAlignment="1">
      <alignment horizontal="left" vertical="center"/>
    </xf>
    <xf numFmtId="44" fontId="5" fillId="0" borderId="0" xfId="0" applyNumberFormat="1" applyFont="1" applyAlignment="1">
      <alignment horizontal="center"/>
    </xf>
    <xf numFmtId="0" fontId="6" fillId="0" borderId="1" xfId="0" applyFont="1" applyBorder="1" applyAlignment="1">
      <alignment horizontal="left" vertical="center"/>
    </xf>
    <xf numFmtId="0" fontId="6" fillId="0" borderId="2" xfId="0" applyFont="1" applyBorder="1" applyAlignment="1">
      <alignment horizontal="left" vertical="center"/>
    </xf>
    <xf numFmtId="44" fontId="6" fillId="0" borderId="1" xfId="0" applyNumberFormat="1" applyFont="1" applyBorder="1" applyAlignment="1">
      <alignment horizontal="center" vertical="center"/>
    </xf>
    <xf numFmtId="44" fontId="6" fillId="0" borderId="2" xfId="0" applyNumberFormat="1" applyFont="1" applyBorder="1" applyAlignment="1">
      <alignment horizontal="center" vertical="center"/>
    </xf>
    <xf numFmtId="0" fontId="13" fillId="0" borderId="1" xfId="0" applyFont="1" applyBorder="1" applyAlignment="1">
      <alignment horizontal="left" vertical="center"/>
    </xf>
    <xf numFmtId="0" fontId="13" fillId="0" borderId="2" xfId="0" applyFont="1" applyBorder="1" applyAlignment="1">
      <alignment horizontal="left" vertical="center"/>
    </xf>
    <xf numFmtId="0" fontId="6" fillId="0" borderId="0" xfId="0" applyFont="1" applyAlignment="1">
      <alignment horizontal="left" vertical="top" wrapText="1"/>
    </xf>
    <xf numFmtId="0" fontId="5" fillId="0" borderId="0" xfId="0" applyFont="1" applyAlignment="1">
      <alignment horizontal="left" vertical="top" wrapText="1"/>
    </xf>
    <xf numFmtId="44" fontId="6" fillId="0" borderId="1" xfId="1" applyFont="1" applyBorder="1" applyAlignment="1">
      <alignment horizontal="center" vertical="center"/>
    </xf>
    <xf numFmtId="0" fontId="8" fillId="0" borderId="2" xfId="0" applyFont="1" applyBorder="1" applyAlignment="1">
      <alignment horizontal="center" vertical="center"/>
    </xf>
    <xf numFmtId="44" fontId="6" fillId="0" borderId="3" xfId="1" applyFont="1" applyBorder="1" applyAlignment="1">
      <alignment horizontal="center" vertical="center"/>
    </xf>
    <xf numFmtId="0" fontId="6" fillId="0" borderId="4" xfId="0" applyFont="1" applyBorder="1" applyAlignment="1">
      <alignment horizontal="center" vertical="center"/>
    </xf>
    <xf numFmtId="0" fontId="7" fillId="0" borderId="0" xfId="0" applyFont="1"/>
    <xf numFmtId="0" fontId="6" fillId="0" borderId="1" xfId="0" applyFont="1" applyBorder="1" applyAlignment="1">
      <alignment horizontal="left" vertical="center" wrapText="1"/>
    </xf>
    <xf numFmtId="0" fontId="6" fillId="0" borderId="2" xfId="0" applyFont="1" applyBorder="1" applyAlignment="1">
      <alignment horizontal="left" vertical="center" wrapText="1"/>
    </xf>
    <xf numFmtId="0" fontId="6" fillId="0" borderId="0" xfId="0" applyFont="1" applyAlignment="1">
      <alignment horizontal="left" wrapText="1"/>
    </xf>
    <xf numFmtId="0" fontId="6" fillId="0" borderId="3" xfId="0" applyFont="1" applyBorder="1" applyAlignment="1">
      <alignment horizontal="left" vertical="center"/>
    </xf>
    <xf numFmtId="0" fontId="0" fillId="0" borderId="3" xfId="0" applyBorder="1"/>
    <xf numFmtId="0" fontId="6" fillId="0" borderId="4" xfId="0" applyFont="1" applyBorder="1" applyAlignment="1">
      <alignment horizontal="left" vertical="center"/>
    </xf>
    <xf numFmtId="0" fontId="0" fillId="0" borderId="4" xfId="0" applyBorder="1"/>
    <xf numFmtId="0" fontId="5" fillId="0" borderId="0" xfId="0" applyFont="1" applyAlignment="1">
      <alignment horizontal="left"/>
    </xf>
    <xf numFmtId="0" fontId="9" fillId="0" borderId="0" xfId="0" applyFont="1"/>
    <xf numFmtId="0" fontId="5" fillId="0" borderId="5" xfId="0" applyFont="1" applyBorder="1" applyAlignment="1">
      <alignment horizontal="left"/>
    </xf>
    <xf numFmtId="0" fontId="7" fillId="0" borderId="5" xfId="0" applyFont="1" applyBorder="1" applyAlignment="1">
      <alignment horizontal="left"/>
    </xf>
    <xf numFmtId="44" fontId="8" fillId="0" borderId="2" xfId="0" applyNumberFormat="1" applyFont="1" applyBorder="1" applyAlignment="1">
      <alignment horizontal="center" vertical="center"/>
    </xf>
    <xf numFmtId="0" fontId="6" fillId="0" borderId="2" xfId="0" applyFont="1" applyBorder="1" applyAlignment="1">
      <alignment horizontal="center" vertical="center"/>
    </xf>
    <xf numFmtId="0" fontId="0" fillId="0" borderId="0" xfId="0" applyAlignment="1">
      <alignment horizontal="center"/>
    </xf>
    <xf numFmtId="0" fontId="5" fillId="0" borderId="0" xfId="0" applyFont="1" applyAlignment="1">
      <alignment horizontal="center"/>
    </xf>
    <xf numFmtId="0" fontId="6" fillId="0" borderId="0" xfId="0" applyFont="1" applyAlignment="1">
      <alignment horizontal="left" vertical="center"/>
    </xf>
  </cellXfs>
  <cellStyles count="2">
    <cellStyle name="Currency" xfId="1" builtinId="4"/>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5000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8"/>
  <sheetViews>
    <sheetView tabSelected="1" view="pageLayout" zoomScale="130" zoomScaleNormal="125" zoomScalePageLayoutView="130" workbookViewId="0">
      <selection activeCell="D11" sqref="D11"/>
    </sheetView>
  </sheetViews>
  <sheetFormatPr defaultColWidth="10.625" defaultRowHeight="12.75"/>
  <cols>
    <col min="1" max="1" width="3" style="1" customWidth="1"/>
    <col min="2" max="2" width="7.875" style="1" customWidth="1"/>
    <col min="3" max="3" width="7" style="1" customWidth="1"/>
    <col min="4" max="4" width="10.625" style="1"/>
    <col min="5" max="5" width="7.125" style="1" bestFit="1" customWidth="1"/>
    <col min="6" max="6" width="20.875" style="1" customWidth="1"/>
    <col min="7" max="7" width="10.5" style="1" customWidth="1"/>
    <col min="8" max="8" width="11.875" style="1" customWidth="1"/>
    <col min="9" max="9" width="10.125" style="1" customWidth="1"/>
    <col min="10" max="16384" width="10.625" style="1"/>
  </cols>
  <sheetData>
    <row r="1" spans="1:8" s="2" customFormat="1" ht="12"/>
    <row r="2" spans="1:8" s="2" customFormat="1" ht="12"/>
    <row r="3" spans="1:8" s="2" customFormat="1" ht="12"/>
    <row r="4" spans="1:8" s="2" customFormat="1" ht="12"/>
    <row r="5" spans="1:8" s="2" customFormat="1" ht="12">
      <c r="A5" s="3" t="s">
        <v>24</v>
      </c>
      <c r="B5" s="4"/>
      <c r="D5" s="3" t="s">
        <v>200</v>
      </c>
      <c r="H5" s="5"/>
    </row>
    <row r="6" spans="1:8" s="2" customFormat="1" ht="12">
      <c r="A6" s="3"/>
      <c r="B6" s="4"/>
      <c r="D6" s="3" t="s">
        <v>201</v>
      </c>
      <c r="H6" s="5"/>
    </row>
    <row r="7" spans="1:8" s="2" customFormat="1" ht="12">
      <c r="A7" s="3"/>
      <c r="B7" s="4"/>
      <c r="D7" s="3" t="s">
        <v>202</v>
      </c>
      <c r="H7" s="5"/>
    </row>
    <row r="8" spans="1:8" s="2" customFormat="1" ht="12">
      <c r="A8" s="3"/>
      <c r="B8" s="4"/>
      <c r="D8" s="3"/>
      <c r="H8" s="5"/>
    </row>
    <row r="9" spans="1:8" s="2" customFormat="1" ht="12">
      <c r="A9" s="3" t="s">
        <v>25</v>
      </c>
      <c r="B9" s="4"/>
      <c r="D9" s="3" t="s">
        <v>203</v>
      </c>
      <c r="H9" s="5"/>
    </row>
    <row r="10" spans="1:8" s="2" customFormat="1" ht="12">
      <c r="A10" s="3"/>
      <c r="B10" s="4"/>
      <c r="D10" s="3"/>
      <c r="H10" s="5"/>
    </row>
    <row r="11" spans="1:8" s="2" customFormat="1" ht="12">
      <c r="A11" s="3" t="s">
        <v>26</v>
      </c>
      <c r="B11" s="4"/>
      <c r="D11" s="3" t="s">
        <v>204</v>
      </c>
      <c r="H11" s="5"/>
    </row>
    <row r="12" spans="1:8" s="2" customFormat="1" ht="12">
      <c r="A12" s="3"/>
      <c r="B12" s="4"/>
      <c r="D12" s="3"/>
      <c r="H12" s="5"/>
    </row>
    <row r="13" spans="1:8" s="2" customFormat="1" ht="12">
      <c r="A13" s="3" t="s">
        <v>23</v>
      </c>
      <c r="B13" s="4"/>
      <c r="D13" s="3" t="s">
        <v>72</v>
      </c>
      <c r="F13" s="3"/>
      <c r="H13" s="5"/>
    </row>
    <row r="14" spans="1:8" s="2" customFormat="1" ht="12">
      <c r="A14" s="3"/>
      <c r="B14" s="4"/>
      <c r="D14" s="3" t="s">
        <v>199</v>
      </c>
      <c r="F14" s="3"/>
      <c r="H14" s="5"/>
    </row>
    <row r="15" spans="1:8" s="2" customFormat="1" ht="12">
      <c r="A15" s="3"/>
      <c r="B15" s="4"/>
      <c r="D15" s="3"/>
      <c r="H15" s="5"/>
    </row>
    <row r="16" spans="1:8" s="2" customFormat="1" ht="12">
      <c r="A16" s="3" t="s">
        <v>8</v>
      </c>
      <c r="B16" s="4"/>
      <c r="D16" s="3" t="s">
        <v>98</v>
      </c>
      <c r="E16" s="3" t="s">
        <v>99</v>
      </c>
      <c r="H16" s="5"/>
    </row>
    <row r="17" spans="1:9" s="2" customFormat="1" ht="12">
      <c r="A17" s="3"/>
      <c r="B17" s="4"/>
      <c r="D17" s="3"/>
      <c r="H17" s="5"/>
    </row>
    <row r="18" spans="1:9" s="2" customFormat="1" ht="12">
      <c r="A18" s="58" t="s">
        <v>45</v>
      </c>
      <c r="B18" s="58"/>
      <c r="C18" s="58"/>
      <c r="D18" s="40"/>
      <c r="E18" s="40"/>
      <c r="F18" s="40"/>
      <c r="G18" s="40"/>
      <c r="H18" s="6"/>
      <c r="I18" s="56">
        <f>SUM(I22:I29)</f>
        <v>29700</v>
      </c>
    </row>
    <row r="19" spans="1:9" s="2" customFormat="1" ht="12">
      <c r="A19" s="59"/>
      <c r="B19" s="59"/>
      <c r="C19" s="59"/>
      <c r="D19" s="41"/>
      <c r="E19" s="41"/>
      <c r="F19" s="41"/>
      <c r="G19" s="41"/>
      <c r="H19" s="7"/>
      <c r="I19" s="79"/>
    </row>
    <row r="20" spans="1:9" s="2" customFormat="1" ht="12">
      <c r="A20" s="8"/>
      <c r="B20" s="8" t="s">
        <v>9</v>
      </c>
      <c r="C20" s="9" t="s">
        <v>10</v>
      </c>
      <c r="G20" s="2" t="s">
        <v>29</v>
      </c>
      <c r="H20" s="8"/>
      <c r="I20" s="8" t="s">
        <v>30</v>
      </c>
    </row>
    <row r="21" spans="1:9" s="2" customFormat="1" ht="12">
      <c r="A21" s="10"/>
      <c r="B21" s="10"/>
      <c r="H21" s="5"/>
    </row>
    <row r="22" spans="1:9" s="2" customFormat="1" ht="12">
      <c r="A22" s="2" t="s">
        <v>31</v>
      </c>
      <c r="B22" s="11">
        <v>1</v>
      </c>
      <c r="C22" s="2" t="s">
        <v>182</v>
      </c>
      <c r="G22" s="18">
        <v>15600</v>
      </c>
      <c r="H22" s="5"/>
      <c r="I22" s="5">
        <f>G22*B22</f>
        <v>15600</v>
      </c>
    </row>
    <row r="23" spans="1:9" s="2" customFormat="1" ht="12">
      <c r="B23" s="11"/>
      <c r="C23" s="2" t="s">
        <v>183</v>
      </c>
      <c r="G23" s="18"/>
      <c r="H23" s="5"/>
      <c r="I23" s="5"/>
    </row>
    <row r="24" spans="1:9" s="2" customFormat="1" ht="12">
      <c r="B24" s="11"/>
      <c r="C24" s="2" t="s">
        <v>185</v>
      </c>
      <c r="G24" s="18"/>
      <c r="H24" s="5"/>
      <c r="I24" s="5"/>
    </row>
    <row r="25" spans="1:9" s="2" customFormat="1" ht="12">
      <c r="B25" s="11"/>
      <c r="C25" s="42" t="s">
        <v>184</v>
      </c>
      <c r="G25" s="18"/>
      <c r="H25" s="5"/>
      <c r="I25" s="5"/>
    </row>
    <row r="26" spans="1:9" s="2" customFormat="1" ht="12">
      <c r="A26" s="2" t="s">
        <v>32</v>
      </c>
      <c r="B26" s="16">
        <v>1</v>
      </c>
      <c r="C26" s="2" t="s">
        <v>186</v>
      </c>
      <c r="G26" s="18">
        <v>11900</v>
      </c>
      <c r="H26" s="5"/>
      <c r="I26" s="17">
        <f>G26*B26</f>
        <v>11900</v>
      </c>
    </row>
    <row r="27" spans="1:9" s="2" customFormat="1" ht="12">
      <c r="B27" s="16"/>
      <c r="C27" s="42" t="s">
        <v>187</v>
      </c>
      <c r="G27" s="18"/>
      <c r="H27" s="5"/>
      <c r="I27" s="5"/>
    </row>
    <row r="28" spans="1:9" s="2" customFormat="1" ht="12">
      <c r="B28" s="16"/>
      <c r="C28" s="42" t="s">
        <v>188</v>
      </c>
      <c r="G28" s="18"/>
      <c r="H28" s="5"/>
      <c r="I28" s="5"/>
    </row>
    <row r="29" spans="1:9" s="2" customFormat="1" ht="12">
      <c r="A29" s="2" t="s">
        <v>33</v>
      </c>
      <c r="B29" s="16">
        <v>1</v>
      </c>
      <c r="C29" s="42" t="s">
        <v>189</v>
      </c>
      <c r="G29" s="18">
        <v>2200</v>
      </c>
      <c r="H29" s="5"/>
      <c r="I29" s="17">
        <f>G29*B29</f>
        <v>2200</v>
      </c>
    </row>
    <row r="30" spans="1:9" s="2" customFormat="1" ht="12">
      <c r="B30" s="16"/>
      <c r="C30" s="42"/>
      <c r="G30" s="18"/>
      <c r="H30" s="5"/>
      <c r="I30" s="5"/>
    </row>
    <row r="31" spans="1:9" s="2" customFormat="1" ht="12">
      <c r="A31" s="58" t="s">
        <v>190</v>
      </c>
      <c r="B31" s="58"/>
      <c r="C31" s="58"/>
      <c r="D31" s="58"/>
      <c r="E31" s="58"/>
      <c r="F31" s="58"/>
      <c r="G31" s="58"/>
      <c r="H31" s="6"/>
      <c r="I31" s="56">
        <f>SUM(I34:I42)</f>
        <v>12477</v>
      </c>
    </row>
    <row r="32" spans="1:9" s="2" customFormat="1" ht="12">
      <c r="A32" s="59"/>
      <c r="B32" s="59"/>
      <c r="C32" s="59"/>
      <c r="D32" s="59"/>
      <c r="E32" s="59"/>
      <c r="F32" s="59"/>
      <c r="G32" s="59"/>
      <c r="H32" s="7"/>
      <c r="I32" s="79"/>
    </row>
    <row r="33" spans="1:9" s="2" customFormat="1" ht="12">
      <c r="A33" s="43"/>
      <c r="B33" s="43"/>
      <c r="C33" s="43"/>
      <c r="D33" s="43"/>
      <c r="E33" s="43"/>
      <c r="F33" s="43"/>
      <c r="G33" s="43"/>
      <c r="H33" s="49"/>
      <c r="I33" s="44"/>
    </row>
    <row r="34" spans="1:9" s="2" customFormat="1" ht="12">
      <c r="A34" s="2" t="s">
        <v>31</v>
      </c>
      <c r="B34" s="11">
        <v>1</v>
      </c>
      <c r="C34" s="2" t="s">
        <v>96</v>
      </c>
      <c r="G34" s="18">
        <v>7200</v>
      </c>
      <c r="H34" s="5"/>
      <c r="I34" s="5">
        <f>G34*B34</f>
        <v>7200</v>
      </c>
    </row>
    <row r="35" spans="1:9" s="2" customFormat="1" ht="12">
      <c r="A35" s="2" t="s">
        <v>32</v>
      </c>
      <c r="B35" s="11">
        <v>1</v>
      </c>
      <c r="C35" s="2" t="s">
        <v>58</v>
      </c>
      <c r="G35" s="18">
        <v>149</v>
      </c>
      <c r="H35" s="5"/>
      <c r="I35" s="5">
        <f t="shared" ref="I35:I42" si="0">G35*B35</f>
        <v>149</v>
      </c>
    </row>
    <row r="36" spans="1:9" s="2" customFormat="1" ht="12">
      <c r="A36" s="2" t="s">
        <v>33</v>
      </c>
      <c r="B36" s="16">
        <v>1</v>
      </c>
      <c r="C36" s="2" t="s">
        <v>59</v>
      </c>
      <c r="G36" s="18">
        <v>485</v>
      </c>
      <c r="H36" s="5"/>
      <c r="I36" s="5">
        <f t="shared" si="0"/>
        <v>485</v>
      </c>
    </row>
    <row r="37" spans="1:9" s="2" customFormat="1" ht="12">
      <c r="A37" s="2" t="s">
        <v>34</v>
      </c>
      <c r="B37" s="16">
        <v>2</v>
      </c>
      <c r="C37" s="2" t="s">
        <v>94</v>
      </c>
      <c r="G37" s="18">
        <v>235</v>
      </c>
      <c r="H37" s="5"/>
      <c r="I37" s="5">
        <f t="shared" si="0"/>
        <v>470</v>
      </c>
    </row>
    <row r="38" spans="1:9" s="2" customFormat="1" ht="12">
      <c r="A38" s="2" t="s">
        <v>46</v>
      </c>
      <c r="B38" s="16">
        <v>2</v>
      </c>
      <c r="C38" s="2" t="s">
        <v>60</v>
      </c>
      <c r="G38" s="18">
        <v>795</v>
      </c>
      <c r="H38" s="5"/>
      <c r="I38" s="5">
        <f t="shared" si="0"/>
        <v>1590</v>
      </c>
    </row>
    <row r="39" spans="1:9" s="2" customFormat="1" ht="12">
      <c r="A39" s="2" t="s">
        <v>47</v>
      </c>
      <c r="B39" s="16">
        <v>2</v>
      </c>
      <c r="C39" s="2" t="s">
        <v>61</v>
      </c>
      <c r="G39" s="18">
        <v>795</v>
      </c>
      <c r="H39" s="5"/>
      <c r="I39" s="5">
        <f t="shared" si="0"/>
        <v>1590</v>
      </c>
    </row>
    <row r="40" spans="1:9" s="2" customFormat="1" ht="12">
      <c r="A40" s="2" t="s">
        <v>48</v>
      </c>
      <c r="B40" s="16">
        <v>1</v>
      </c>
      <c r="C40" s="2" t="s">
        <v>62</v>
      </c>
      <c r="G40" s="18">
        <v>795</v>
      </c>
      <c r="H40" s="5"/>
      <c r="I40" s="5">
        <f t="shared" si="0"/>
        <v>795</v>
      </c>
    </row>
    <row r="41" spans="1:9" s="2" customFormat="1" ht="12">
      <c r="A41" s="2" t="s">
        <v>49</v>
      </c>
      <c r="B41" s="16">
        <v>1</v>
      </c>
      <c r="C41" s="2" t="s">
        <v>63</v>
      </c>
      <c r="G41" s="18">
        <v>88</v>
      </c>
      <c r="H41" s="5"/>
      <c r="I41" s="5">
        <f t="shared" si="0"/>
        <v>88</v>
      </c>
    </row>
    <row r="42" spans="1:9" s="2" customFormat="1" ht="12">
      <c r="A42" s="2" t="s">
        <v>50</v>
      </c>
      <c r="B42" s="16">
        <v>1</v>
      </c>
      <c r="C42" s="2" t="s">
        <v>64</v>
      </c>
      <c r="G42" s="18">
        <v>110</v>
      </c>
      <c r="H42" s="5"/>
      <c r="I42" s="5">
        <f t="shared" si="0"/>
        <v>110</v>
      </c>
    </row>
    <row r="43" spans="1:9" s="2" customFormat="1" ht="12">
      <c r="B43" s="16"/>
      <c r="G43" s="18"/>
      <c r="H43" s="5"/>
      <c r="I43" s="5"/>
    </row>
    <row r="44" spans="1:9" s="2" customFormat="1" ht="12">
      <c r="A44" s="58" t="s">
        <v>191</v>
      </c>
      <c r="B44" s="58"/>
      <c r="C44" s="58"/>
      <c r="D44" s="58"/>
      <c r="E44" s="58"/>
      <c r="F44" s="58"/>
      <c r="G44" s="58"/>
      <c r="H44" s="20"/>
      <c r="I44" s="56">
        <f>SUM(I47:I56)</f>
        <v>1399</v>
      </c>
    </row>
    <row r="45" spans="1:9" s="2" customFormat="1" ht="12">
      <c r="A45" s="59"/>
      <c r="B45" s="59"/>
      <c r="C45" s="59"/>
      <c r="D45" s="59"/>
      <c r="E45" s="59"/>
      <c r="F45" s="59"/>
      <c r="G45" s="59"/>
      <c r="H45" s="21"/>
      <c r="I45" s="78"/>
    </row>
    <row r="46" spans="1:9" s="2" customFormat="1" ht="12">
      <c r="A46" s="43"/>
      <c r="B46" s="43"/>
      <c r="C46" s="43"/>
      <c r="D46" s="43"/>
      <c r="E46" s="43"/>
      <c r="F46" s="43"/>
      <c r="G46" s="43"/>
      <c r="H46" s="8"/>
      <c r="I46" s="48"/>
    </row>
    <row r="47" spans="1:9" s="2" customFormat="1" ht="12">
      <c r="A47" s="9" t="s">
        <v>31</v>
      </c>
      <c r="B47" s="8">
        <v>1</v>
      </c>
      <c r="C47" s="24" t="s">
        <v>100</v>
      </c>
      <c r="D47" s="10"/>
      <c r="E47" s="10"/>
      <c r="F47" s="10"/>
      <c r="G47" s="22">
        <v>78</v>
      </c>
      <c r="H47" s="22"/>
      <c r="I47" s="23">
        <f t="shared" ref="I47:I56" si="1">G47*B47</f>
        <v>78</v>
      </c>
    </row>
    <row r="48" spans="1:9" s="2" customFormat="1" ht="12">
      <c r="A48" s="9" t="s">
        <v>32</v>
      </c>
      <c r="B48" s="8">
        <v>1</v>
      </c>
      <c r="C48" s="24" t="s">
        <v>101</v>
      </c>
      <c r="D48" s="10"/>
      <c r="E48" s="10"/>
      <c r="F48" s="10"/>
      <c r="G48" s="22">
        <v>78</v>
      </c>
      <c r="H48" s="22"/>
      <c r="I48" s="23">
        <f t="shared" si="1"/>
        <v>78</v>
      </c>
    </row>
    <row r="49" spans="1:9" s="2" customFormat="1" ht="12">
      <c r="A49" s="9" t="s">
        <v>33</v>
      </c>
      <c r="B49" s="8">
        <v>2</v>
      </c>
      <c r="C49" s="24" t="s">
        <v>102</v>
      </c>
      <c r="D49" s="10"/>
      <c r="E49" s="10"/>
      <c r="F49" s="10"/>
      <c r="G49" s="22">
        <v>98</v>
      </c>
      <c r="H49" s="22"/>
      <c r="I49" s="23">
        <f t="shared" si="1"/>
        <v>196</v>
      </c>
    </row>
    <row r="50" spans="1:9" s="2" customFormat="1" ht="12">
      <c r="A50" s="9" t="s">
        <v>34</v>
      </c>
      <c r="B50" s="8">
        <v>2</v>
      </c>
      <c r="C50" s="24" t="s">
        <v>103</v>
      </c>
      <c r="D50" s="10"/>
      <c r="E50" s="10"/>
      <c r="F50" s="10"/>
      <c r="G50" s="22">
        <v>98</v>
      </c>
      <c r="H50" s="22"/>
      <c r="I50" s="23">
        <f t="shared" si="1"/>
        <v>196</v>
      </c>
    </row>
    <row r="51" spans="1:9" s="2" customFormat="1" ht="12">
      <c r="A51" s="9" t="s">
        <v>46</v>
      </c>
      <c r="B51" s="8">
        <v>1</v>
      </c>
      <c r="C51" s="24" t="s">
        <v>67</v>
      </c>
      <c r="D51" s="10"/>
      <c r="E51" s="10"/>
      <c r="F51" s="10"/>
      <c r="G51" s="22">
        <v>98</v>
      </c>
      <c r="H51" s="22"/>
      <c r="I51" s="23">
        <f t="shared" si="1"/>
        <v>98</v>
      </c>
    </row>
    <row r="52" spans="1:9" s="2" customFormat="1" ht="12">
      <c r="A52" s="9" t="s">
        <v>47</v>
      </c>
      <c r="B52" s="8">
        <v>1</v>
      </c>
      <c r="C52" s="24" t="s">
        <v>105</v>
      </c>
      <c r="D52" s="10"/>
      <c r="E52" s="10"/>
      <c r="F52" s="10"/>
      <c r="G52" s="22">
        <v>78</v>
      </c>
      <c r="H52" s="22"/>
      <c r="I52" s="23">
        <f t="shared" si="1"/>
        <v>78</v>
      </c>
    </row>
    <row r="53" spans="1:9" s="2" customFormat="1" ht="12">
      <c r="A53" s="9" t="s">
        <v>48</v>
      </c>
      <c r="B53" s="8">
        <v>1</v>
      </c>
      <c r="C53" s="24" t="s">
        <v>106</v>
      </c>
      <c r="D53" s="10"/>
      <c r="E53" s="10"/>
      <c r="F53" s="10"/>
      <c r="G53" s="22">
        <v>415</v>
      </c>
      <c r="H53" s="22"/>
      <c r="I53" s="23">
        <f t="shared" si="1"/>
        <v>415</v>
      </c>
    </row>
    <row r="54" spans="1:9" s="2" customFormat="1" ht="12">
      <c r="A54" s="9" t="s">
        <v>49</v>
      </c>
      <c r="B54" s="8">
        <v>1</v>
      </c>
      <c r="C54" s="24" t="s">
        <v>107</v>
      </c>
      <c r="D54" s="10"/>
      <c r="E54" s="10"/>
      <c r="F54" s="10"/>
      <c r="G54" s="22">
        <v>48</v>
      </c>
      <c r="H54" s="22"/>
      <c r="I54" s="23">
        <f t="shared" si="1"/>
        <v>48</v>
      </c>
    </row>
    <row r="55" spans="1:9" s="2" customFormat="1" ht="12">
      <c r="A55" s="9" t="s">
        <v>50</v>
      </c>
      <c r="B55" s="8">
        <v>2</v>
      </c>
      <c r="C55" s="24" t="s">
        <v>108</v>
      </c>
      <c r="D55" s="10"/>
      <c r="E55" s="10"/>
      <c r="F55" s="10"/>
      <c r="G55" s="22">
        <v>48</v>
      </c>
      <c r="H55" s="22"/>
      <c r="I55" s="23">
        <f t="shared" si="1"/>
        <v>96</v>
      </c>
    </row>
    <row r="56" spans="1:9" s="2" customFormat="1" ht="12">
      <c r="A56" s="2" t="s">
        <v>51</v>
      </c>
      <c r="B56" s="8">
        <v>2</v>
      </c>
      <c r="C56" s="24" t="s">
        <v>104</v>
      </c>
      <c r="D56" s="10"/>
      <c r="E56" s="10"/>
      <c r="F56" s="10"/>
      <c r="G56" s="22">
        <v>58</v>
      </c>
      <c r="H56" s="22"/>
      <c r="I56" s="23">
        <f t="shared" si="1"/>
        <v>116</v>
      </c>
    </row>
    <row r="57" spans="1:9" s="2" customFormat="1" ht="12">
      <c r="A57" s="9"/>
      <c r="B57" s="8"/>
      <c r="C57" s="24"/>
      <c r="D57" s="10"/>
      <c r="E57" s="10"/>
      <c r="F57" s="10"/>
      <c r="G57" s="22"/>
      <c r="H57" s="22"/>
      <c r="I57" s="23"/>
    </row>
    <row r="58" spans="1:9" s="2" customFormat="1" ht="12">
      <c r="A58" s="9"/>
      <c r="B58" s="8"/>
      <c r="C58" s="24"/>
      <c r="D58" s="10"/>
      <c r="E58" s="10"/>
      <c r="F58" s="10"/>
      <c r="G58" s="22"/>
      <c r="H58" s="22"/>
      <c r="I58" s="23"/>
    </row>
    <row r="59" spans="1:9" s="2" customFormat="1" ht="12">
      <c r="B59" s="16"/>
      <c r="G59" s="18"/>
      <c r="H59" s="5"/>
      <c r="I59" s="5"/>
    </row>
    <row r="60" spans="1:9" s="2" customFormat="1" ht="12">
      <c r="B60" s="16"/>
      <c r="G60" s="18"/>
      <c r="H60" s="5"/>
      <c r="I60" s="5"/>
    </row>
    <row r="61" spans="1:9" s="2" customFormat="1" ht="12">
      <c r="B61" s="16"/>
      <c r="G61" s="18"/>
      <c r="H61" s="5"/>
      <c r="I61" s="5"/>
    </row>
    <row r="62" spans="1:9" s="2" customFormat="1" ht="12">
      <c r="B62" s="16"/>
      <c r="G62" s="18"/>
      <c r="H62" s="5"/>
      <c r="I62" s="5"/>
    </row>
    <row r="63" spans="1:9" s="2" customFormat="1" ht="12">
      <c r="A63" s="2" t="s">
        <v>37</v>
      </c>
      <c r="B63" s="16"/>
      <c r="E63" s="2" t="s">
        <v>38</v>
      </c>
      <c r="F63" s="10" t="str">
        <f>D11</f>
        <v>2108AC01S</v>
      </c>
      <c r="G63" s="53" t="str">
        <f>D16</f>
        <v>TAPESTRY</v>
      </c>
      <c r="H63" s="53"/>
      <c r="I63" s="51" t="s">
        <v>54</v>
      </c>
    </row>
    <row r="64" spans="1:9" s="2" customFormat="1" ht="12">
      <c r="B64" s="16"/>
      <c r="G64" s="18"/>
      <c r="H64" s="5"/>
      <c r="I64" s="5"/>
    </row>
    <row r="65" spans="1:9" s="2" customFormat="1" ht="12">
      <c r="A65" s="58" t="s">
        <v>122</v>
      </c>
      <c r="B65" s="58"/>
      <c r="C65" s="58"/>
      <c r="D65" s="58"/>
      <c r="E65" s="58"/>
      <c r="F65" s="58"/>
      <c r="G65" s="58"/>
      <c r="H65" s="20"/>
      <c r="I65" s="56">
        <f>SUM(I68:I80)</f>
        <v>10453</v>
      </c>
    </row>
    <row r="66" spans="1:9" s="2" customFormat="1" ht="12">
      <c r="A66" s="59"/>
      <c r="B66" s="59"/>
      <c r="C66" s="59"/>
      <c r="D66" s="59"/>
      <c r="E66" s="59"/>
      <c r="F66" s="59"/>
      <c r="G66" s="59"/>
      <c r="H66" s="21"/>
      <c r="I66" s="78"/>
    </row>
    <row r="67" spans="1:9" s="2" customFormat="1" ht="12">
      <c r="A67" s="43"/>
      <c r="B67" s="43"/>
      <c r="C67" s="43"/>
      <c r="D67" s="43"/>
      <c r="E67" s="43"/>
      <c r="F67" s="43"/>
      <c r="G67" s="43"/>
      <c r="H67" s="8"/>
      <c r="I67" s="48"/>
    </row>
    <row r="68" spans="1:9" s="2" customFormat="1" ht="12">
      <c r="A68" s="9" t="s">
        <v>31</v>
      </c>
      <c r="B68" s="8">
        <v>1</v>
      </c>
      <c r="C68" s="9" t="s">
        <v>97</v>
      </c>
      <c r="D68" s="9"/>
      <c r="E68" s="9"/>
      <c r="F68" s="9"/>
      <c r="G68" s="46">
        <v>8200</v>
      </c>
      <c r="H68" s="8"/>
      <c r="I68" s="18">
        <f t="shared" ref="I68" si="2">G68*B68</f>
        <v>8200</v>
      </c>
    </row>
    <row r="69" spans="1:9" s="2" customFormat="1" ht="12">
      <c r="A69" s="9" t="s">
        <v>32</v>
      </c>
      <c r="B69" s="10">
        <v>1</v>
      </c>
      <c r="C69" s="2" t="s">
        <v>110</v>
      </c>
      <c r="G69" s="18">
        <v>78</v>
      </c>
      <c r="I69" s="18">
        <f t="shared" ref="I69:I80" si="3">G69*B69</f>
        <v>78</v>
      </c>
    </row>
    <row r="70" spans="1:9" s="2" customFormat="1" ht="12">
      <c r="A70" s="9" t="s">
        <v>33</v>
      </c>
      <c r="B70" s="8">
        <v>2</v>
      </c>
      <c r="C70" s="24" t="s">
        <v>71</v>
      </c>
      <c r="D70" s="10"/>
      <c r="E70" s="10"/>
      <c r="F70" s="10"/>
      <c r="G70" s="22">
        <v>415</v>
      </c>
      <c r="H70" s="22"/>
      <c r="I70" s="23">
        <f t="shared" si="3"/>
        <v>830</v>
      </c>
    </row>
    <row r="71" spans="1:9" s="2" customFormat="1" ht="12">
      <c r="A71" s="9" t="s">
        <v>34</v>
      </c>
      <c r="B71" s="8">
        <v>2</v>
      </c>
      <c r="C71" s="24" t="s">
        <v>109</v>
      </c>
      <c r="D71" s="10"/>
      <c r="E71" s="10"/>
      <c r="F71" s="10"/>
      <c r="G71" s="22">
        <v>78</v>
      </c>
      <c r="H71" s="22"/>
      <c r="I71" s="23">
        <f t="shared" si="3"/>
        <v>156</v>
      </c>
    </row>
    <row r="72" spans="1:9" s="2" customFormat="1" ht="12">
      <c r="A72" s="9" t="s">
        <v>46</v>
      </c>
      <c r="B72" s="8">
        <v>1</v>
      </c>
      <c r="C72" s="24" t="s">
        <v>65</v>
      </c>
      <c r="D72" s="10"/>
      <c r="E72" s="10"/>
      <c r="F72" s="10"/>
      <c r="G72" s="22">
        <v>98</v>
      </c>
      <c r="H72" s="22"/>
      <c r="I72" s="23">
        <f t="shared" si="3"/>
        <v>98</v>
      </c>
    </row>
    <row r="73" spans="1:9" s="2" customFormat="1" ht="12">
      <c r="A73" s="9" t="s">
        <v>47</v>
      </c>
      <c r="B73" s="8">
        <v>1</v>
      </c>
      <c r="C73" s="24" t="s">
        <v>66</v>
      </c>
      <c r="D73" s="10"/>
      <c r="E73" s="10"/>
      <c r="F73" s="10"/>
      <c r="G73" s="22">
        <v>98</v>
      </c>
      <c r="H73" s="22"/>
      <c r="I73" s="23">
        <f t="shared" si="3"/>
        <v>98</v>
      </c>
    </row>
    <row r="74" spans="1:9" s="2" customFormat="1" ht="12">
      <c r="A74" s="2" t="s">
        <v>70</v>
      </c>
      <c r="B74" s="8">
        <v>1</v>
      </c>
      <c r="C74" s="24" t="s">
        <v>69</v>
      </c>
      <c r="D74" s="10"/>
      <c r="E74" s="10"/>
      <c r="F74" s="10"/>
      <c r="G74" s="22">
        <v>78</v>
      </c>
      <c r="H74" s="22"/>
      <c r="I74" s="23">
        <f t="shared" si="3"/>
        <v>78</v>
      </c>
    </row>
    <row r="75" spans="1:9" s="2" customFormat="1" ht="12">
      <c r="A75" s="2" t="s">
        <v>49</v>
      </c>
      <c r="B75" s="8">
        <v>1</v>
      </c>
      <c r="C75" s="24" t="s">
        <v>68</v>
      </c>
      <c r="D75" s="10"/>
      <c r="E75" s="10"/>
      <c r="F75" s="10"/>
      <c r="G75" s="22">
        <v>78</v>
      </c>
      <c r="H75" s="22"/>
      <c r="I75" s="23">
        <f t="shared" si="3"/>
        <v>78</v>
      </c>
    </row>
    <row r="76" spans="1:9" s="2" customFormat="1" ht="12">
      <c r="A76" s="2" t="s">
        <v>50</v>
      </c>
      <c r="B76" s="8">
        <v>2</v>
      </c>
      <c r="C76" s="24" t="s">
        <v>108</v>
      </c>
      <c r="D76" s="10"/>
      <c r="E76" s="10"/>
      <c r="F76" s="10"/>
      <c r="G76" s="22">
        <v>48</v>
      </c>
      <c r="H76" s="22"/>
      <c r="I76" s="23">
        <f t="shared" si="3"/>
        <v>96</v>
      </c>
    </row>
    <row r="77" spans="1:9" s="2" customFormat="1" ht="12">
      <c r="A77" s="2" t="s">
        <v>51</v>
      </c>
      <c r="B77" s="16">
        <v>1</v>
      </c>
      <c r="C77" s="2" t="s">
        <v>111</v>
      </c>
      <c r="G77" s="18">
        <v>58</v>
      </c>
      <c r="H77" s="5"/>
      <c r="I77" s="17">
        <f t="shared" si="3"/>
        <v>58</v>
      </c>
    </row>
    <row r="78" spans="1:9" s="2" customFormat="1" ht="12">
      <c r="A78" s="2" t="s">
        <v>52</v>
      </c>
      <c r="B78" s="16">
        <v>1</v>
      </c>
      <c r="C78" s="2" t="s">
        <v>63</v>
      </c>
      <c r="G78" s="18">
        <v>88</v>
      </c>
      <c r="H78" s="5"/>
      <c r="I78" s="17">
        <f t="shared" si="3"/>
        <v>88</v>
      </c>
    </row>
    <row r="79" spans="1:9" s="2" customFormat="1" ht="12">
      <c r="A79" s="2" t="s">
        <v>86</v>
      </c>
      <c r="B79" s="16">
        <v>1</v>
      </c>
      <c r="C79" s="2" t="s">
        <v>112</v>
      </c>
      <c r="G79" s="18">
        <v>110</v>
      </c>
      <c r="H79" s="5"/>
      <c r="I79" s="17">
        <f t="shared" si="3"/>
        <v>110</v>
      </c>
    </row>
    <row r="80" spans="1:9" s="2" customFormat="1" ht="12">
      <c r="A80" s="2" t="s">
        <v>87</v>
      </c>
      <c r="B80" s="16">
        <v>1</v>
      </c>
      <c r="C80" s="2" t="s">
        <v>192</v>
      </c>
      <c r="G80" s="18">
        <v>485</v>
      </c>
      <c r="H80" s="5"/>
      <c r="I80" s="17">
        <f t="shared" si="3"/>
        <v>485</v>
      </c>
    </row>
    <row r="81" spans="1:9" s="2" customFormat="1" ht="12">
      <c r="B81" s="16"/>
      <c r="G81" s="18"/>
      <c r="H81" s="5"/>
      <c r="I81" s="17"/>
    </row>
    <row r="82" spans="1:9" s="2" customFormat="1" ht="12">
      <c r="A82" s="58" t="s">
        <v>73</v>
      </c>
      <c r="B82" s="58"/>
      <c r="C82" s="58"/>
      <c r="D82" s="58"/>
      <c r="E82" s="58"/>
      <c r="F82" s="58"/>
      <c r="G82" s="58"/>
      <c r="H82" s="20"/>
      <c r="I82" s="56">
        <f>SUM(I85:I86)</f>
        <v>1135</v>
      </c>
    </row>
    <row r="83" spans="1:9" s="2" customFormat="1" ht="12">
      <c r="A83" s="59"/>
      <c r="B83" s="59"/>
      <c r="C83" s="59"/>
      <c r="D83" s="59"/>
      <c r="E83" s="59"/>
      <c r="F83" s="59"/>
      <c r="G83" s="59"/>
      <c r="H83" s="21"/>
      <c r="I83" s="78"/>
    </row>
    <row r="84" spans="1:9" s="2" customFormat="1" ht="12">
      <c r="A84" s="8"/>
      <c r="B84" s="8"/>
      <c r="C84" s="8"/>
      <c r="D84" s="10"/>
      <c r="E84" s="10"/>
      <c r="F84" s="10"/>
      <c r="G84" s="22"/>
      <c r="H84" s="22"/>
      <c r="I84" s="23"/>
    </row>
    <row r="85" spans="1:9" s="2" customFormat="1" ht="12">
      <c r="A85" s="9" t="s">
        <v>31</v>
      </c>
      <c r="B85" s="8">
        <v>2</v>
      </c>
      <c r="C85" s="24" t="s">
        <v>113</v>
      </c>
      <c r="D85" s="10"/>
      <c r="E85" s="10"/>
      <c r="F85" s="10"/>
      <c r="G85" s="22">
        <v>425</v>
      </c>
      <c r="H85" s="22"/>
      <c r="I85" s="23">
        <f>G85*B85</f>
        <v>850</v>
      </c>
    </row>
    <row r="86" spans="1:9" s="2" customFormat="1" ht="12">
      <c r="A86" s="9" t="s">
        <v>32</v>
      </c>
      <c r="B86" s="8">
        <v>1</v>
      </c>
      <c r="C86" s="24" t="s">
        <v>114</v>
      </c>
      <c r="D86" s="10"/>
      <c r="E86" s="10"/>
      <c r="F86" s="10"/>
      <c r="G86" s="22">
        <v>285</v>
      </c>
      <c r="H86" s="22"/>
      <c r="I86" s="23">
        <f t="shared" ref="I86" si="4">G86*B86</f>
        <v>285</v>
      </c>
    </row>
    <row r="87" spans="1:9" s="2" customFormat="1" ht="12">
      <c r="A87" s="8"/>
      <c r="B87" s="8"/>
      <c r="C87" s="8"/>
      <c r="D87" s="10"/>
      <c r="E87" s="10"/>
      <c r="F87" s="10"/>
      <c r="G87" s="8"/>
      <c r="H87" s="8"/>
      <c r="I87" s="10"/>
    </row>
    <row r="88" spans="1:9" s="2" customFormat="1" ht="12">
      <c r="A88" s="54" t="s">
        <v>123</v>
      </c>
      <c r="B88" s="54"/>
      <c r="C88" s="54"/>
      <c r="D88" s="54"/>
      <c r="E88" s="54"/>
      <c r="F88" s="54"/>
      <c r="G88" s="54"/>
      <c r="H88" s="54"/>
      <c r="I88" s="56">
        <f>SUM(I91:I97)</f>
        <v>426</v>
      </c>
    </row>
    <row r="89" spans="1:9" s="2" customFormat="1" ht="12">
      <c r="A89" s="55"/>
      <c r="B89" s="55"/>
      <c r="C89" s="55"/>
      <c r="D89" s="55"/>
      <c r="E89" s="55"/>
      <c r="F89" s="55"/>
      <c r="G89" s="55"/>
      <c r="H89" s="55"/>
      <c r="I89" s="78"/>
    </row>
    <row r="90" spans="1:9" s="2" customFormat="1" ht="12">
      <c r="A90" s="8"/>
      <c r="B90" s="8"/>
      <c r="C90" s="8"/>
      <c r="D90" s="10"/>
      <c r="E90" s="10"/>
      <c r="F90" s="10"/>
      <c r="G90" s="22"/>
      <c r="H90" s="22"/>
      <c r="I90" s="23"/>
    </row>
    <row r="91" spans="1:9" s="2" customFormat="1" ht="12">
      <c r="A91" s="9" t="s">
        <v>31</v>
      </c>
      <c r="B91" s="8">
        <v>1</v>
      </c>
      <c r="C91" s="24" t="s">
        <v>115</v>
      </c>
      <c r="D91" s="10"/>
      <c r="E91" s="10"/>
      <c r="F91" s="10"/>
      <c r="G91" s="22">
        <v>78</v>
      </c>
      <c r="H91" s="22"/>
      <c r="I91" s="23">
        <f>G91*B91</f>
        <v>78</v>
      </c>
    </row>
    <row r="92" spans="1:9" s="2" customFormat="1" ht="12">
      <c r="A92" s="9" t="s">
        <v>32</v>
      </c>
      <c r="B92" s="8">
        <v>1</v>
      </c>
      <c r="C92" s="24" t="s">
        <v>116</v>
      </c>
      <c r="D92" s="10"/>
      <c r="E92" s="10"/>
      <c r="F92" s="10"/>
      <c r="G92" s="22">
        <v>68</v>
      </c>
      <c r="H92" s="22"/>
      <c r="I92" s="23">
        <f t="shared" ref="I92:I97" si="5">G92*B92</f>
        <v>68</v>
      </c>
    </row>
    <row r="93" spans="1:9" s="2" customFormat="1" ht="12">
      <c r="A93" s="9" t="s">
        <v>33</v>
      </c>
      <c r="B93" s="8">
        <v>1</v>
      </c>
      <c r="C93" s="24" t="s">
        <v>127</v>
      </c>
      <c r="D93" s="10"/>
      <c r="E93" s="10"/>
      <c r="F93" s="10"/>
      <c r="G93" s="22">
        <v>58</v>
      </c>
      <c r="H93" s="22"/>
      <c r="I93" s="23">
        <f>G93*B93</f>
        <v>58</v>
      </c>
    </row>
    <row r="94" spans="1:9" s="2" customFormat="1" ht="12">
      <c r="A94" s="9" t="s">
        <v>34</v>
      </c>
      <c r="B94" s="8">
        <v>1</v>
      </c>
      <c r="C94" s="24" t="s">
        <v>74</v>
      </c>
      <c r="D94" s="10"/>
      <c r="E94" s="10"/>
      <c r="F94" s="10"/>
      <c r="G94" s="22">
        <v>58</v>
      </c>
      <c r="H94" s="22"/>
      <c r="I94" s="23">
        <f t="shared" si="5"/>
        <v>58</v>
      </c>
    </row>
    <row r="95" spans="1:9" s="2" customFormat="1" ht="12">
      <c r="A95" s="9" t="s">
        <v>46</v>
      </c>
      <c r="B95" s="8">
        <v>1</v>
      </c>
      <c r="C95" s="24" t="s">
        <v>124</v>
      </c>
      <c r="D95" s="10"/>
      <c r="E95" s="10"/>
      <c r="F95" s="10"/>
      <c r="G95" s="22">
        <v>58</v>
      </c>
      <c r="H95" s="22"/>
      <c r="I95" s="23">
        <f t="shared" si="5"/>
        <v>58</v>
      </c>
    </row>
    <row r="96" spans="1:9" s="2" customFormat="1" ht="12">
      <c r="A96" s="9" t="s">
        <v>47</v>
      </c>
      <c r="B96" s="8">
        <v>1</v>
      </c>
      <c r="C96" s="24" t="s">
        <v>125</v>
      </c>
      <c r="D96" s="10"/>
      <c r="E96" s="10"/>
      <c r="F96" s="10"/>
      <c r="G96" s="22">
        <v>58</v>
      </c>
      <c r="H96" s="22"/>
      <c r="I96" s="23">
        <f t="shared" si="5"/>
        <v>58</v>
      </c>
    </row>
    <row r="97" spans="1:9" s="2" customFormat="1" ht="12">
      <c r="A97" s="2" t="s">
        <v>48</v>
      </c>
      <c r="B97" s="8">
        <v>1</v>
      </c>
      <c r="C97" s="24" t="s">
        <v>126</v>
      </c>
      <c r="D97" s="10"/>
      <c r="E97" s="10"/>
      <c r="F97" s="10"/>
      <c r="G97" s="22">
        <v>48</v>
      </c>
      <c r="H97" s="22"/>
      <c r="I97" s="23">
        <f t="shared" si="5"/>
        <v>48</v>
      </c>
    </row>
    <row r="98" spans="1:9" s="2" customFormat="1" ht="12">
      <c r="A98" s="9"/>
      <c r="B98" s="8"/>
      <c r="C98" s="24"/>
      <c r="D98" s="10"/>
      <c r="E98" s="10"/>
      <c r="F98" s="10"/>
      <c r="G98" s="22"/>
      <c r="H98" s="22"/>
      <c r="I98" s="23"/>
    </row>
    <row r="99" spans="1:9" s="2" customFormat="1" ht="12">
      <c r="A99" s="54" t="s">
        <v>117</v>
      </c>
      <c r="B99" s="54"/>
      <c r="C99" s="54"/>
      <c r="D99" s="54"/>
      <c r="E99" s="54"/>
      <c r="F99" s="54"/>
      <c r="G99" s="54"/>
      <c r="H99" s="54"/>
      <c r="I99" s="56">
        <f>SUM(I102:I132)</f>
        <v>5921</v>
      </c>
    </row>
    <row r="100" spans="1:9" s="2" customFormat="1" ht="12">
      <c r="A100" s="55"/>
      <c r="B100" s="55"/>
      <c r="C100" s="55"/>
      <c r="D100" s="55"/>
      <c r="E100" s="55"/>
      <c r="F100" s="55"/>
      <c r="G100" s="55"/>
      <c r="H100" s="55"/>
      <c r="I100" s="57"/>
    </row>
    <row r="101" spans="1:9" s="2" customFormat="1" ht="12">
      <c r="H101" s="5"/>
    </row>
    <row r="102" spans="1:9" s="2" customFormat="1" ht="12">
      <c r="A102" s="2" t="s">
        <v>31</v>
      </c>
      <c r="B102" s="10">
        <v>2</v>
      </c>
      <c r="C102" s="2" t="s">
        <v>113</v>
      </c>
      <c r="G102" s="22">
        <v>425</v>
      </c>
      <c r="H102" s="5"/>
      <c r="I102" s="23">
        <f>G102*B102</f>
        <v>850</v>
      </c>
    </row>
    <row r="103" spans="1:9" s="2" customFormat="1" ht="12">
      <c r="A103" s="9" t="s">
        <v>32</v>
      </c>
      <c r="B103" s="8">
        <v>2</v>
      </c>
      <c r="C103" s="24" t="s">
        <v>95</v>
      </c>
      <c r="D103" s="10"/>
      <c r="E103" s="10"/>
      <c r="F103" s="10"/>
      <c r="G103" s="22">
        <v>1165</v>
      </c>
      <c r="H103" s="22"/>
      <c r="I103" s="23">
        <f>G103*B103</f>
        <v>2330</v>
      </c>
    </row>
    <row r="104" spans="1:9" s="2" customFormat="1" ht="12">
      <c r="A104" s="9" t="s">
        <v>32</v>
      </c>
      <c r="B104" s="8">
        <v>1</v>
      </c>
      <c r="C104" s="24" t="s">
        <v>128</v>
      </c>
      <c r="D104" s="10"/>
      <c r="E104" s="10"/>
      <c r="F104" s="10"/>
      <c r="G104" s="22">
        <v>78</v>
      </c>
      <c r="H104" s="22"/>
      <c r="I104" s="23">
        <f>G104*B104</f>
        <v>78</v>
      </c>
    </row>
    <row r="105" spans="1:9" s="2" customFormat="1" ht="12">
      <c r="A105" s="9" t="s">
        <v>33</v>
      </c>
      <c r="B105" s="8">
        <v>1</v>
      </c>
      <c r="C105" s="24" t="s">
        <v>141</v>
      </c>
      <c r="D105" s="10"/>
      <c r="E105" s="10"/>
      <c r="F105" s="10"/>
      <c r="G105" s="22">
        <v>78</v>
      </c>
      <c r="H105" s="22"/>
      <c r="I105" s="23">
        <f>G105*B105</f>
        <v>78</v>
      </c>
    </row>
    <row r="106" spans="1:9" s="2" customFormat="1" ht="12">
      <c r="A106" s="9" t="s">
        <v>34</v>
      </c>
      <c r="B106" s="8">
        <v>2</v>
      </c>
      <c r="C106" s="24" t="s">
        <v>129</v>
      </c>
      <c r="D106" s="10"/>
      <c r="E106" s="10"/>
      <c r="F106" s="10"/>
      <c r="G106" s="22">
        <v>68</v>
      </c>
      <c r="H106" s="22"/>
      <c r="I106" s="23">
        <f t="shared" ref="I106:I107" si="6">G106*B106</f>
        <v>136</v>
      </c>
    </row>
    <row r="107" spans="1:9" s="2" customFormat="1" ht="12">
      <c r="A107" s="9" t="s">
        <v>46</v>
      </c>
      <c r="B107" s="8">
        <v>2</v>
      </c>
      <c r="C107" s="24" t="s">
        <v>116</v>
      </c>
      <c r="D107" s="10"/>
      <c r="E107" s="10"/>
      <c r="F107" s="10"/>
      <c r="G107" s="22">
        <v>175</v>
      </c>
      <c r="H107" s="22"/>
      <c r="I107" s="23">
        <f t="shared" si="6"/>
        <v>350</v>
      </c>
    </row>
    <row r="108" spans="1:9" s="2" customFormat="1" ht="12">
      <c r="A108" s="9" t="s">
        <v>47</v>
      </c>
      <c r="B108" s="8">
        <v>1</v>
      </c>
      <c r="C108" s="24" t="s">
        <v>139</v>
      </c>
      <c r="D108" s="10"/>
      <c r="E108" s="10"/>
      <c r="F108" s="10"/>
      <c r="G108" s="22">
        <v>265</v>
      </c>
      <c r="H108" s="22"/>
      <c r="I108" s="23">
        <f>G108*B108</f>
        <v>265</v>
      </c>
    </row>
    <row r="109" spans="1:9" s="2" customFormat="1" ht="12">
      <c r="A109" s="9" t="s">
        <v>48</v>
      </c>
      <c r="B109" s="8">
        <v>3</v>
      </c>
      <c r="C109" s="24" t="s">
        <v>130</v>
      </c>
      <c r="D109" s="10"/>
      <c r="E109" s="10"/>
      <c r="F109" s="10"/>
      <c r="G109" s="22">
        <v>68</v>
      </c>
      <c r="H109" s="22"/>
      <c r="I109" s="23">
        <f>G109*B109</f>
        <v>204</v>
      </c>
    </row>
    <row r="110" spans="1:9" s="2" customFormat="1" ht="12">
      <c r="A110" s="9" t="s">
        <v>76</v>
      </c>
      <c r="B110" s="8">
        <v>2</v>
      </c>
      <c r="C110" s="24" t="s">
        <v>142</v>
      </c>
      <c r="D110" s="10"/>
      <c r="E110" s="10"/>
      <c r="F110" s="10"/>
      <c r="G110" s="22">
        <v>58</v>
      </c>
      <c r="H110" s="22"/>
      <c r="I110" s="23">
        <f>G110*B110</f>
        <v>116</v>
      </c>
    </row>
    <row r="111" spans="1:9" s="2" customFormat="1" ht="12">
      <c r="A111" s="9" t="s">
        <v>50</v>
      </c>
      <c r="B111" s="8">
        <v>1</v>
      </c>
      <c r="C111" s="24" t="s">
        <v>75</v>
      </c>
      <c r="D111" s="10"/>
      <c r="E111" s="10"/>
      <c r="F111" s="10"/>
      <c r="G111" s="22">
        <v>58</v>
      </c>
      <c r="H111" s="22"/>
      <c r="I111" s="23">
        <f>G111*B111</f>
        <v>58</v>
      </c>
    </row>
    <row r="112" spans="1:9" s="2" customFormat="1" ht="12">
      <c r="A112" s="2" t="s">
        <v>51</v>
      </c>
      <c r="B112" s="8">
        <v>3</v>
      </c>
      <c r="C112" s="24" t="s">
        <v>53</v>
      </c>
      <c r="D112" s="10"/>
      <c r="E112" s="10"/>
      <c r="F112" s="10"/>
      <c r="G112" s="22">
        <v>58</v>
      </c>
      <c r="H112" s="22"/>
      <c r="I112" s="23">
        <f>G112*B112</f>
        <v>174</v>
      </c>
    </row>
    <row r="114" spans="1:9" s="2" customFormat="1" ht="12">
      <c r="B114" s="8"/>
      <c r="C114" s="24"/>
      <c r="D114" s="10"/>
      <c r="E114" s="10"/>
      <c r="F114" s="10"/>
      <c r="G114" s="22"/>
      <c r="H114" s="22"/>
      <c r="I114" s="23"/>
    </row>
    <row r="115" spans="1:9" s="2" customFormat="1" ht="12">
      <c r="A115" s="9"/>
      <c r="B115" s="8"/>
      <c r="C115" s="24"/>
      <c r="D115" s="10"/>
      <c r="E115" s="10"/>
      <c r="F115" s="10"/>
      <c r="G115" s="22"/>
      <c r="H115" s="22"/>
      <c r="I115" s="23"/>
    </row>
    <row r="116" spans="1:9" s="2" customFormat="1" ht="12">
      <c r="A116" s="9"/>
      <c r="B116" s="8"/>
      <c r="C116" s="24"/>
      <c r="D116" s="10"/>
      <c r="E116" s="10"/>
      <c r="F116" s="10"/>
      <c r="G116" s="22"/>
      <c r="H116" s="22"/>
      <c r="I116" s="23"/>
    </row>
    <row r="117" spans="1:9" s="2" customFormat="1" ht="12">
      <c r="A117" s="9"/>
      <c r="B117" s="8"/>
      <c r="C117" s="24"/>
      <c r="D117" s="10"/>
      <c r="E117" s="10"/>
      <c r="F117" s="10"/>
      <c r="G117" s="22"/>
      <c r="H117" s="22"/>
      <c r="I117" s="23"/>
    </row>
    <row r="118" spans="1:9" s="2" customFormat="1" ht="12">
      <c r="A118" s="9"/>
      <c r="B118" s="8"/>
      <c r="C118" s="24"/>
      <c r="D118" s="10"/>
      <c r="E118" s="10"/>
      <c r="F118" s="10"/>
      <c r="G118" s="22"/>
      <c r="H118" s="22"/>
      <c r="I118" s="23"/>
    </row>
    <row r="119" spans="1:9" s="2" customFormat="1" ht="12">
      <c r="A119" s="9"/>
      <c r="B119" s="8"/>
      <c r="C119" s="24"/>
      <c r="D119" s="10"/>
      <c r="E119" s="10"/>
      <c r="F119" s="10"/>
      <c r="G119" s="22"/>
      <c r="H119" s="22"/>
      <c r="I119" s="23"/>
    </row>
    <row r="120" spans="1:9" s="2" customFormat="1">
      <c r="A120" s="2" t="s">
        <v>37</v>
      </c>
      <c r="B120" s="10"/>
      <c r="E120" s="33" t="s">
        <v>38</v>
      </c>
      <c r="F120" s="10" t="str">
        <f>D11</f>
        <v>2108AC01S</v>
      </c>
      <c r="G120" s="53" t="str">
        <f>D16</f>
        <v>TAPESTRY</v>
      </c>
      <c r="H120" s="80"/>
      <c r="I120" s="39" t="s">
        <v>7</v>
      </c>
    </row>
    <row r="121" spans="1:9" s="2" customFormat="1" ht="12">
      <c r="A121" s="9"/>
      <c r="B121" s="8"/>
      <c r="C121" s="24"/>
      <c r="D121" s="10"/>
      <c r="E121" s="10"/>
      <c r="F121" s="10"/>
      <c r="G121" s="22"/>
      <c r="H121" s="22"/>
      <c r="I121" s="23"/>
    </row>
    <row r="122" spans="1:9" s="2" customFormat="1" ht="12">
      <c r="A122" s="54" t="s">
        <v>117</v>
      </c>
      <c r="B122" s="54"/>
      <c r="C122" s="54"/>
      <c r="D122" s="54"/>
      <c r="E122" s="54"/>
      <c r="F122" s="54"/>
      <c r="G122" s="54"/>
      <c r="H122" s="54"/>
      <c r="I122" s="56"/>
    </row>
    <row r="123" spans="1:9" s="2" customFormat="1" ht="12">
      <c r="A123" s="55"/>
      <c r="B123" s="55"/>
      <c r="C123" s="55"/>
      <c r="D123" s="55"/>
      <c r="E123" s="55"/>
      <c r="F123" s="55"/>
      <c r="G123" s="55"/>
      <c r="H123" s="55"/>
      <c r="I123" s="57"/>
    </row>
    <row r="124" spans="1:9" s="2" customFormat="1" ht="12">
      <c r="A124" s="43"/>
      <c r="B124" s="43"/>
      <c r="C124" s="43"/>
      <c r="D124" s="43"/>
      <c r="E124" s="43"/>
      <c r="F124" s="43"/>
      <c r="G124" s="43"/>
      <c r="H124" s="43"/>
      <c r="I124" s="50"/>
    </row>
    <row r="125" spans="1:9" s="2" customFormat="1" ht="12">
      <c r="A125" s="9" t="s">
        <v>52</v>
      </c>
      <c r="B125" s="8">
        <v>1</v>
      </c>
      <c r="C125" s="9" t="s">
        <v>131</v>
      </c>
      <c r="D125" s="9"/>
      <c r="E125" s="9"/>
      <c r="F125" s="9"/>
      <c r="G125" s="46">
        <v>155</v>
      </c>
      <c r="H125" s="9"/>
      <c r="I125" s="23">
        <f t="shared" ref="I125:I132" si="7">G125*B125</f>
        <v>155</v>
      </c>
    </row>
    <row r="126" spans="1:9" s="2" customFormat="1" ht="12">
      <c r="A126" s="9" t="s">
        <v>86</v>
      </c>
      <c r="B126" s="8">
        <v>1</v>
      </c>
      <c r="C126" s="9" t="s">
        <v>132</v>
      </c>
      <c r="D126" s="9"/>
      <c r="E126" s="9"/>
      <c r="F126" s="9"/>
      <c r="G126" s="46">
        <v>38</v>
      </c>
      <c r="H126" s="9"/>
      <c r="I126" s="23">
        <f t="shared" si="7"/>
        <v>38</v>
      </c>
    </row>
    <row r="127" spans="1:9" s="2" customFormat="1" ht="12">
      <c r="A127" s="9" t="s">
        <v>87</v>
      </c>
      <c r="B127" s="8">
        <v>1</v>
      </c>
      <c r="C127" s="9" t="s">
        <v>133</v>
      </c>
      <c r="D127" s="9"/>
      <c r="E127" s="9"/>
      <c r="F127" s="9"/>
      <c r="G127" s="46">
        <v>38</v>
      </c>
      <c r="H127" s="9"/>
      <c r="I127" s="23">
        <f t="shared" si="7"/>
        <v>38</v>
      </c>
    </row>
    <row r="128" spans="1:9" s="2" customFormat="1" ht="12">
      <c r="A128" s="9" t="s">
        <v>79</v>
      </c>
      <c r="B128" s="8">
        <v>2</v>
      </c>
      <c r="C128" s="9" t="s">
        <v>134</v>
      </c>
      <c r="D128" s="9"/>
      <c r="E128" s="9"/>
      <c r="F128" s="9"/>
      <c r="G128" s="46">
        <v>225</v>
      </c>
      <c r="H128" s="9"/>
      <c r="I128" s="23">
        <f t="shared" si="7"/>
        <v>450</v>
      </c>
    </row>
    <row r="129" spans="1:9" s="2" customFormat="1" ht="12">
      <c r="A129" s="9" t="s">
        <v>80</v>
      </c>
      <c r="B129" s="8">
        <v>1</v>
      </c>
      <c r="C129" s="9" t="s">
        <v>135</v>
      </c>
      <c r="D129" s="9"/>
      <c r="E129" s="9"/>
      <c r="F129" s="9"/>
      <c r="G129" s="46">
        <v>68</v>
      </c>
      <c r="H129" s="9"/>
      <c r="I129" s="23">
        <f t="shared" si="7"/>
        <v>68</v>
      </c>
    </row>
    <row r="130" spans="1:9" s="2" customFormat="1" ht="12">
      <c r="A130" s="2" t="s">
        <v>81</v>
      </c>
      <c r="B130" s="8">
        <v>1</v>
      </c>
      <c r="C130" s="24" t="s">
        <v>136</v>
      </c>
      <c r="D130" s="10"/>
      <c r="E130" s="10"/>
      <c r="F130" s="10"/>
      <c r="G130" s="22">
        <v>335</v>
      </c>
      <c r="H130" s="22"/>
      <c r="I130" s="23">
        <f t="shared" si="7"/>
        <v>335</v>
      </c>
    </row>
    <row r="131" spans="1:9" s="2" customFormat="1" ht="12">
      <c r="A131" s="2" t="s">
        <v>82</v>
      </c>
      <c r="B131" s="10">
        <v>1</v>
      </c>
      <c r="C131" s="2" t="s">
        <v>137</v>
      </c>
      <c r="G131" s="18">
        <v>88</v>
      </c>
      <c r="I131" s="23">
        <f t="shared" si="7"/>
        <v>88</v>
      </c>
    </row>
    <row r="132" spans="1:9" s="2" customFormat="1" ht="12">
      <c r="A132" s="2" t="s">
        <v>84</v>
      </c>
      <c r="B132" s="10">
        <v>1</v>
      </c>
      <c r="C132" s="2" t="s">
        <v>112</v>
      </c>
      <c r="G132" s="18">
        <v>110</v>
      </c>
      <c r="H132" s="5"/>
      <c r="I132" s="23">
        <f t="shared" si="7"/>
        <v>110</v>
      </c>
    </row>
    <row r="133" spans="1:9" s="2" customFormat="1" ht="12">
      <c r="B133" s="10"/>
      <c r="G133" s="18"/>
      <c r="H133" s="5"/>
      <c r="I133" s="18"/>
    </row>
    <row r="134" spans="1:9" s="2" customFormat="1" ht="12">
      <c r="A134" s="54" t="s">
        <v>118</v>
      </c>
      <c r="B134" s="54"/>
      <c r="C134" s="54"/>
      <c r="D134" s="54"/>
      <c r="E134" s="54"/>
      <c r="F134" s="54"/>
      <c r="G134" s="54"/>
      <c r="H134" s="54"/>
      <c r="I134" s="56">
        <f>SUM(I137:I147)</f>
        <v>1446</v>
      </c>
    </row>
    <row r="135" spans="1:9" s="2" customFormat="1" ht="12">
      <c r="A135" s="55"/>
      <c r="B135" s="55"/>
      <c r="C135" s="55"/>
      <c r="D135" s="55"/>
      <c r="E135" s="55"/>
      <c r="F135" s="55"/>
      <c r="G135" s="55"/>
      <c r="H135" s="55"/>
      <c r="I135" s="57"/>
    </row>
    <row r="136" spans="1:9" s="2" customFormat="1" ht="12">
      <c r="H136" s="5"/>
    </row>
    <row r="137" spans="1:9" s="2" customFormat="1" ht="12">
      <c r="A137" s="2" t="s">
        <v>31</v>
      </c>
      <c r="B137" s="8">
        <v>1</v>
      </c>
      <c r="C137" s="24" t="s">
        <v>128</v>
      </c>
      <c r="D137" s="10"/>
      <c r="E137" s="10"/>
      <c r="F137" s="10"/>
      <c r="G137" s="22">
        <v>78</v>
      </c>
      <c r="H137" s="22"/>
      <c r="I137" s="23">
        <f>G137*B137</f>
        <v>78</v>
      </c>
    </row>
    <row r="138" spans="1:9" s="2" customFormat="1" ht="12">
      <c r="A138" s="9" t="s">
        <v>32</v>
      </c>
      <c r="B138" s="8">
        <v>1</v>
      </c>
      <c r="C138" s="24" t="s">
        <v>141</v>
      </c>
      <c r="D138" s="10"/>
      <c r="E138" s="10"/>
      <c r="F138" s="10"/>
      <c r="G138" s="22">
        <v>78</v>
      </c>
      <c r="H138" s="22"/>
      <c r="I138" s="23">
        <f>G138*B138</f>
        <v>78</v>
      </c>
    </row>
    <row r="139" spans="1:9" s="2" customFormat="1" ht="12">
      <c r="A139" s="9" t="s">
        <v>33</v>
      </c>
      <c r="B139" s="8">
        <v>2</v>
      </c>
      <c r="C139" s="24" t="s">
        <v>129</v>
      </c>
      <c r="D139" s="10"/>
      <c r="E139" s="10"/>
      <c r="F139" s="10"/>
      <c r="G139" s="22">
        <v>58</v>
      </c>
      <c r="H139" s="22"/>
      <c r="I139" s="23">
        <f t="shared" ref="I139:I140" si="8">G139*B139</f>
        <v>116</v>
      </c>
    </row>
    <row r="140" spans="1:9" s="2" customFormat="1" ht="12">
      <c r="A140" s="9" t="s">
        <v>34</v>
      </c>
      <c r="B140" s="8">
        <v>2</v>
      </c>
      <c r="C140" s="24" t="s">
        <v>116</v>
      </c>
      <c r="D140" s="10"/>
      <c r="E140" s="10"/>
      <c r="F140" s="10"/>
      <c r="G140" s="22">
        <v>165</v>
      </c>
      <c r="H140" s="22"/>
      <c r="I140" s="23">
        <f t="shared" si="8"/>
        <v>330</v>
      </c>
    </row>
    <row r="141" spans="1:9" s="2" customFormat="1" ht="12">
      <c r="A141" s="9" t="s">
        <v>46</v>
      </c>
      <c r="B141" s="8">
        <v>1</v>
      </c>
      <c r="C141" s="24" t="s">
        <v>139</v>
      </c>
      <c r="D141" s="10"/>
      <c r="E141" s="10"/>
      <c r="F141" s="10"/>
      <c r="G141" s="22">
        <v>265</v>
      </c>
      <c r="H141" s="22"/>
      <c r="I141" s="23">
        <f>G141*B141</f>
        <v>265</v>
      </c>
    </row>
    <row r="142" spans="1:9" s="2" customFormat="1" ht="12">
      <c r="A142" s="9" t="s">
        <v>47</v>
      </c>
      <c r="B142" s="8">
        <v>3</v>
      </c>
      <c r="C142" s="24" t="s">
        <v>138</v>
      </c>
      <c r="D142" s="10"/>
      <c r="E142" s="10"/>
      <c r="F142" s="10"/>
      <c r="G142" s="22">
        <v>58</v>
      </c>
      <c r="H142" s="22"/>
      <c r="I142" s="23">
        <f>G142*B142</f>
        <v>174</v>
      </c>
    </row>
    <row r="143" spans="1:9" s="2" customFormat="1" ht="12">
      <c r="A143" s="9" t="s">
        <v>48</v>
      </c>
      <c r="B143" s="8">
        <v>2</v>
      </c>
      <c r="C143" s="24" t="s">
        <v>142</v>
      </c>
      <c r="D143" s="10"/>
      <c r="E143" s="10"/>
      <c r="F143" s="10"/>
      <c r="G143" s="22">
        <v>58</v>
      </c>
      <c r="H143" s="22"/>
      <c r="I143" s="23">
        <f>G143*B143</f>
        <v>116</v>
      </c>
    </row>
    <row r="144" spans="1:9" s="2" customFormat="1" ht="12">
      <c r="A144" s="9" t="s">
        <v>49</v>
      </c>
      <c r="B144" s="8">
        <v>1</v>
      </c>
      <c r="C144" s="24" t="s">
        <v>77</v>
      </c>
      <c r="D144" s="10"/>
      <c r="E144" s="10"/>
      <c r="F144" s="10"/>
      <c r="G144" s="22">
        <v>58</v>
      </c>
      <c r="H144" s="22"/>
      <c r="I144" s="23">
        <f t="shared" ref="I144:I147" si="9">G144*B144</f>
        <v>58</v>
      </c>
    </row>
    <row r="145" spans="1:9" s="2" customFormat="1" ht="12">
      <c r="A145" s="9" t="s">
        <v>57</v>
      </c>
      <c r="B145" s="8">
        <v>1</v>
      </c>
      <c r="C145" s="24" t="s">
        <v>131</v>
      </c>
      <c r="D145" s="10"/>
      <c r="E145" s="10"/>
      <c r="F145" s="10"/>
      <c r="G145" s="22">
        <v>155</v>
      </c>
      <c r="H145" s="22"/>
      <c r="I145" s="23">
        <f t="shared" si="9"/>
        <v>155</v>
      </c>
    </row>
    <row r="146" spans="1:9" s="2" customFormat="1" ht="12">
      <c r="A146" s="9" t="s">
        <v>56</v>
      </c>
      <c r="B146" s="8">
        <v>1</v>
      </c>
      <c r="C146" s="24" t="s">
        <v>132</v>
      </c>
      <c r="D146" s="10"/>
      <c r="E146" s="10"/>
      <c r="F146" s="10"/>
      <c r="G146" s="22">
        <v>38</v>
      </c>
      <c r="H146" s="22"/>
      <c r="I146" s="23">
        <f t="shared" si="9"/>
        <v>38</v>
      </c>
    </row>
    <row r="147" spans="1:9" s="2" customFormat="1" ht="12">
      <c r="A147" s="2" t="s">
        <v>52</v>
      </c>
      <c r="B147" s="8">
        <v>1</v>
      </c>
      <c r="C147" s="24" t="s">
        <v>133</v>
      </c>
      <c r="D147" s="10"/>
      <c r="E147" s="10"/>
      <c r="F147" s="10"/>
      <c r="G147" s="22">
        <v>38</v>
      </c>
      <c r="H147" s="22"/>
      <c r="I147" s="23">
        <f t="shared" si="9"/>
        <v>38</v>
      </c>
    </row>
    <row r="148" spans="1:9" s="2" customFormat="1" ht="12">
      <c r="A148" s="9"/>
    </row>
    <row r="149" spans="1:9" s="2" customFormat="1" ht="12">
      <c r="A149" s="54" t="s">
        <v>119</v>
      </c>
      <c r="B149" s="54"/>
      <c r="C149" s="54"/>
      <c r="D149" s="54"/>
      <c r="E149" s="54"/>
      <c r="F149" s="54"/>
      <c r="G149" s="54"/>
      <c r="H149" s="54"/>
      <c r="I149" s="56">
        <f>SUM(I152:I162)</f>
        <v>1446</v>
      </c>
    </row>
    <row r="150" spans="1:9" s="2" customFormat="1" ht="12">
      <c r="A150" s="55"/>
      <c r="B150" s="55"/>
      <c r="C150" s="55"/>
      <c r="D150" s="55"/>
      <c r="E150" s="55"/>
      <c r="F150" s="55"/>
      <c r="G150" s="55"/>
      <c r="H150" s="55"/>
      <c r="I150" s="57"/>
    </row>
    <row r="151" spans="1:9" s="2" customFormat="1" ht="12">
      <c r="A151" s="9"/>
      <c r="B151" s="8"/>
      <c r="C151" s="24"/>
      <c r="D151" s="10"/>
      <c r="E151" s="10"/>
      <c r="F151" s="10"/>
      <c r="G151" s="22"/>
      <c r="H151" s="22"/>
      <c r="I151" s="23"/>
    </row>
    <row r="152" spans="1:9" s="2" customFormat="1" ht="12">
      <c r="A152" s="2" t="s">
        <v>31</v>
      </c>
      <c r="B152" s="8">
        <v>1</v>
      </c>
      <c r="C152" s="24" t="s">
        <v>128</v>
      </c>
      <c r="D152" s="10"/>
      <c r="E152" s="10"/>
      <c r="F152" s="10"/>
      <c r="G152" s="22">
        <v>78</v>
      </c>
      <c r="H152" s="22"/>
      <c r="I152" s="23">
        <f>G152*B152</f>
        <v>78</v>
      </c>
    </row>
    <row r="153" spans="1:9" s="2" customFormat="1" ht="12">
      <c r="A153" s="9" t="s">
        <v>32</v>
      </c>
      <c r="B153" s="8">
        <v>1</v>
      </c>
      <c r="C153" s="24" t="s">
        <v>141</v>
      </c>
      <c r="D153" s="10"/>
      <c r="E153" s="10"/>
      <c r="F153" s="10"/>
      <c r="G153" s="22">
        <v>78</v>
      </c>
      <c r="H153" s="22"/>
      <c r="I153" s="23">
        <f>G153*B153</f>
        <v>78</v>
      </c>
    </row>
    <row r="154" spans="1:9" s="2" customFormat="1" ht="12">
      <c r="A154" s="9" t="s">
        <v>33</v>
      </c>
      <c r="B154" s="8">
        <v>2</v>
      </c>
      <c r="C154" s="24" t="s">
        <v>129</v>
      </c>
      <c r="D154" s="10"/>
      <c r="E154" s="10"/>
      <c r="F154" s="10"/>
      <c r="G154" s="22">
        <v>58</v>
      </c>
      <c r="H154" s="22"/>
      <c r="I154" s="23">
        <f t="shared" ref="I154:I155" si="10">G154*B154</f>
        <v>116</v>
      </c>
    </row>
    <row r="155" spans="1:9" s="2" customFormat="1" ht="12">
      <c r="A155" s="9" t="s">
        <v>34</v>
      </c>
      <c r="B155" s="8">
        <v>2</v>
      </c>
      <c r="C155" s="24" t="s">
        <v>116</v>
      </c>
      <c r="D155" s="10"/>
      <c r="E155" s="10"/>
      <c r="F155" s="10"/>
      <c r="G155" s="22">
        <v>165</v>
      </c>
      <c r="H155" s="22"/>
      <c r="I155" s="23">
        <f t="shared" si="10"/>
        <v>330</v>
      </c>
    </row>
    <row r="156" spans="1:9" s="2" customFormat="1" ht="12">
      <c r="A156" s="9" t="s">
        <v>46</v>
      </c>
      <c r="B156" s="8">
        <v>1</v>
      </c>
      <c r="C156" s="24" t="s">
        <v>139</v>
      </c>
      <c r="D156" s="10"/>
      <c r="E156" s="10"/>
      <c r="F156" s="10"/>
      <c r="G156" s="22">
        <v>265</v>
      </c>
      <c r="H156" s="22"/>
      <c r="I156" s="23">
        <f>G156*B156</f>
        <v>265</v>
      </c>
    </row>
    <row r="157" spans="1:9" s="2" customFormat="1" ht="12">
      <c r="A157" s="9" t="s">
        <v>47</v>
      </c>
      <c r="B157" s="8">
        <v>3</v>
      </c>
      <c r="C157" s="24" t="s">
        <v>138</v>
      </c>
      <c r="D157" s="10"/>
      <c r="E157" s="10"/>
      <c r="F157" s="10"/>
      <c r="G157" s="22">
        <v>58</v>
      </c>
      <c r="H157" s="22"/>
      <c r="I157" s="23">
        <f>G157*B157</f>
        <v>174</v>
      </c>
    </row>
    <row r="158" spans="1:9" s="2" customFormat="1" ht="12">
      <c r="A158" s="9" t="s">
        <v>48</v>
      </c>
      <c r="B158" s="8">
        <v>2</v>
      </c>
      <c r="C158" s="24" t="s">
        <v>142</v>
      </c>
      <c r="D158" s="10"/>
      <c r="E158" s="10"/>
      <c r="F158" s="10"/>
      <c r="G158" s="22">
        <v>58</v>
      </c>
      <c r="H158" s="22"/>
      <c r="I158" s="23">
        <f>G158*B158</f>
        <v>116</v>
      </c>
    </row>
    <row r="159" spans="1:9" s="2" customFormat="1" ht="12">
      <c r="A159" s="9" t="s">
        <v>49</v>
      </c>
      <c r="B159" s="8">
        <v>1</v>
      </c>
      <c r="C159" s="24" t="s">
        <v>77</v>
      </c>
      <c r="D159" s="10"/>
      <c r="E159" s="10"/>
      <c r="F159" s="10"/>
      <c r="G159" s="22">
        <v>58</v>
      </c>
      <c r="H159" s="22"/>
      <c r="I159" s="23">
        <f t="shared" ref="I159:I162" si="11">G159*B159</f>
        <v>58</v>
      </c>
    </row>
    <row r="160" spans="1:9" s="2" customFormat="1" ht="12">
      <c r="A160" s="9" t="s">
        <v>57</v>
      </c>
      <c r="B160" s="8">
        <v>1</v>
      </c>
      <c r="C160" s="24" t="s">
        <v>131</v>
      </c>
      <c r="D160" s="10"/>
      <c r="E160" s="10"/>
      <c r="F160" s="10"/>
      <c r="G160" s="22">
        <v>155</v>
      </c>
      <c r="H160" s="22"/>
      <c r="I160" s="23">
        <f t="shared" si="11"/>
        <v>155</v>
      </c>
    </row>
    <row r="161" spans="1:9" s="2" customFormat="1" ht="12">
      <c r="A161" s="9" t="s">
        <v>56</v>
      </c>
      <c r="B161" s="8">
        <v>1</v>
      </c>
      <c r="C161" s="24" t="s">
        <v>132</v>
      </c>
      <c r="D161" s="10"/>
      <c r="E161" s="10"/>
      <c r="F161" s="10"/>
      <c r="G161" s="22">
        <v>38</v>
      </c>
      <c r="H161" s="22"/>
      <c r="I161" s="23">
        <f t="shared" si="11"/>
        <v>38</v>
      </c>
    </row>
    <row r="162" spans="1:9" s="2" customFormat="1" ht="12">
      <c r="A162" s="2" t="s">
        <v>52</v>
      </c>
      <c r="B162" s="8">
        <v>1</v>
      </c>
      <c r="C162" s="24" t="s">
        <v>133</v>
      </c>
      <c r="D162" s="10"/>
      <c r="E162" s="10"/>
      <c r="F162" s="10"/>
      <c r="G162" s="22">
        <v>38</v>
      </c>
      <c r="H162" s="22"/>
      <c r="I162" s="23">
        <f t="shared" si="11"/>
        <v>38</v>
      </c>
    </row>
    <row r="163" spans="1:9" s="2" customFormat="1" ht="12">
      <c r="A163" s="9"/>
      <c r="B163" s="8"/>
      <c r="C163" s="24"/>
      <c r="D163" s="10"/>
      <c r="E163" s="10"/>
      <c r="F163" s="10"/>
      <c r="G163" s="22"/>
      <c r="H163" s="22"/>
      <c r="I163" s="23"/>
    </row>
    <row r="164" spans="1:9" s="2" customFormat="1" ht="12">
      <c r="A164" s="54" t="s">
        <v>120</v>
      </c>
      <c r="B164" s="54"/>
      <c r="C164" s="54"/>
      <c r="D164" s="54"/>
      <c r="E164" s="54"/>
      <c r="F164" s="54"/>
      <c r="G164" s="54"/>
      <c r="H164" s="54"/>
      <c r="I164" s="56">
        <f>SUM(I167:I189)</f>
        <v>1426</v>
      </c>
    </row>
    <row r="165" spans="1:9" s="2" customFormat="1" ht="12">
      <c r="A165" s="55"/>
      <c r="B165" s="55"/>
      <c r="C165" s="55"/>
      <c r="D165" s="55"/>
      <c r="E165" s="55"/>
      <c r="F165" s="55"/>
      <c r="G165" s="55"/>
      <c r="H165" s="55"/>
      <c r="I165" s="57"/>
    </row>
    <row r="166" spans="1:9" s="2" customFormat="1" ht="12">
      <c r="H166" s="5"/>
    </row>
    <row r="167" spans="1:9" s="2" customFormat="1" ht="12">
      <c r="A167" s="2" t="s">
        <v>31</v>
      </c>
      <c r="B167" s="8">
        <v>1</v>
      </c>
      <c r="C167" s="24" t="s">
        <v>128</v>
      </c>
      <c r="D167" s="10"/>
      <c r="E167" s="10"/>
      <c r="F167" s="10"/>
      <c r="G167" s="22">
        <v>78</v>
      </c>
      <c r="H167" s="22"/>
      <c r="I167" s="23">
        <f>G167*B167</f>
        <v>78</v>
      </c>
    </row>
    <row r="168" spans="1:9" s="2" customFormat="1" ht="12">
      <c r="A168" s="9" t="s">
        <v>32</v>
      </c>
      <c r="B168" s="8">
        <v>1</v>
      </c>
      <c r="C168" s="24" t="s">
        <v>141</v>
      </c>
      <c r="D168" s="10"/>
      <c r="E168" s="10"/>
      <c r="F168" s="10"/>
      <c r="G168" s="22">
        <v>78</v>
      </c>
      <c r="H168" s="22"/>
      <c r="I168" s="23">
        <f>G168*B168</f>
        <v>78</v>
      </c>
    </row>
    <row r="169" spans="1:9" s="2" customFormat="1" ht="12">
      <c r="A169" s="9"/>
      <c r="B169" s="8"/>
      <c r="C169" s="24"/>
      <c r="D169" s="10"/>
      <c r="E169" s="10"/>
      <c r="F169" s="10"/>
      <c r="G169" s="22"/>
      <c r="H169" s="22"/>
      <c r="I169" s="23"/>
    </row>
    <row r="170" spans="1:9" s="2" customFormat="1" ht="12">
      <c r="A170" s="9"/>
      <c r="B170" s="8"/>
      <c r="C170" s="24"/>
      <c r="D170" s="10"/>
      <c r="E170" s="10"/>
      <c r="F170" s="10"/>
      <c r="G170" s="22"/>
      <c r="H170" s="22"/>
      <c r="I170" s="23"/>
    </row>
    <row r="171" spans="1:9" s="2" customFormat="1" ht="12">
      <c r="A171" s="9"/>
      <c r="B171" s="8"/>
      <c r="C171" s="24"/>
      <c r="D171" s="10"/>
      <c r="E171" s="10"/>
      <c r="F171" s="10"/>
      <c r="G171" s="22"/>
      <c r="H171" s="22"/>
      <c r="I171" s="23"/>
    </row>
    <row r="172" spans="1:9" s="2" customFormat="1" ht="12">
      <c r="A172" s="9"/>
      <c r="B172" s="8"/>
      <c r="C172" s="24"/>
      <c r="D172" s="10"/>
      <c r="E172" s="10"/>
      <c r="F172" s="10"/>
      <c r="G172" s="22"/>
      <c r="H172" s="22"/>
      <c r="I172" s="23"/>
    </row>
    <row r="173" spans="1:9" s="2" customFormat="1" ht="12">
      <c r="A173" s="9"/>
      <c r="B173" s="8"/>
      <c r="C173" s="24"/>
      <c r="D173" s="10"/>
      <c r="E173" s="10"/>
      <c r="F173" s="10"/>
      <c r="G173" s="22"/>
      <c r="H173" s="22"/>
      <c r="I173" s="23"/>
    </row>
    <row r="174" spans="1:9" s="2" customFormat="1" ht="12">
      <c r="A174" s="9"/>
      <c r="B174" s="8"/>
      <c r="C174" s="24"/>
      <c r="D174" s="10"/>
      <c r="E174" s="10"/>
      <c r="F174" s="10"/>
      <c r="G174" s="22"/>
      <c r="H174" s="22"/>
      <c r="I174" s="23"/>
    </row>
    <row r="175" spans="1:9" s="2" customFormat="1" ht="12">
      <c r="A175" s="9"/>
      <c r="B175" s="8"/>
      <c r="C175" s="24"/>
      <c r="D175" s="10"/>
      <c r="E175" s="10"/>
      <c r="F175" s="10"/>
      <c r="G175" s="22"/>
      <c r="H175" s="22"/>
      <c r="I175" s="23"/>
    </row>
    <row r="176" spans="1:9" s="2" customFormat="1" ht="12.95" customHeight="1">
      <c r="A176" s="2" t="s">
        <v>37</v>
      </c>
      <c r="B176" s="10"/>
      <c r="E176" s="33" t="s">
        <v>38</v>
      </c>
      <c r="F176" s="10" t="str">
        <f>D11</f>
        <v>2108AC01S</v>
      </c>
      <c r="G176" s="53" t="str">
        <f>D16</f>
        <v>TAPESTRY</v>
      </c>
      <c r="H176" s="53"/>
      <c r="I176" s="39" t="s">
        <v>39</v>
      </c>
    </row>
    <row r="177" spans="1:9" s="2" customFormat="1" ht="12">
      <c r="A177" s="9"/>
      <c r="B177" s="8"/>
      <c r="C177" s="24"/>
      <c r="D177" s="10"/>
      <c r="E177" s="10"/>
      <c r="F177" s="10"/>
      <c r="G177" s="22"/>
      <c r="H177" s="22"/>
      <c r="I177" s="23"/>
    </row>
    <row r="178" spans="1:9" s="2" customFormat="1" ht="12">
      <c r="A178" s="54" t="s">
        <v>140</v>
      </c>
      <c r="B178" s="54"/>
      <c r="C178" s="54"/>
      <c r="D178" s="54"/>
      <c r="E178" s="54"/>
      <c r="F178" s="54"/>
      <c r="G178" s="54"/>
      <c r="H178" s="54"/>
      <c r="I178" s="56"/>
    </row>
    <row r="179" spans="1:9" s="2" customFormat="1" ht="12">
      <c r="A179" s="55"/>
      <c r="B179" s="55"/>
      <c r="C179" s="55"/>
      <c r="D179" s="55"/>
      <c r="E179" s="55"/>
      <c r="F179" s="55"/>
      <c r="G179" s="55"/>
      <c r="H179" s="55"/>
      <c r="I179" s="57"/>
    </row>
    <row r="180" spans="1:9" s="2" customFormat="1" ht="12">
      <c r="A180" s="43"/>
      <c r="B180" s="43"/>
      <c r="C180" s="43"/>
      <c r="D180" s="43"/>
      <c r="E180" s="43"/>
      <c r="F180" s="43"/>
      <c r="G180" s="43"/>
      <c r="H180" s="43"/>
      <c r="I180" s="50"/>
    </row>
    <row r="181" spans="1:9" s="2" customFormat="1" ht="12">
      <c r="A181" s="9" t="s">
        <v>33</v>
      </c>
      <c r="B181" s="8">
        <v>2</v>
      </c>
      <c r="C181" s="24" t="s">
        <v>129</v>
      </c>
      <c r="D181" s="10"/>
      <c r="E181" s="10"/>
      <c r="F181" s="10"/>
      <c r="G181" s="22">
        <v>58</v>
      </c>
      <c r="H181" s="22"/>
      <c r="I181" s="23">
        <f>G181*B181</f>
        <v>116</v>
      </c>
    </row>
    <row r="182" spans="1:9" s="2" customFormat="1" ht="12">
      <c r="A182" s="9" t="s">
        <v>34</v>
      </c>
      <c r="B182" s="8">
        <v>2</v>
      </c>
      <c r="C182" s="24" t="s">
        <v>116</v>
      </c>
      <c r="D182" s="10"/>
      <c r="E182" s="10"/>
      <c r="F182" s="10"/>
      <c r="G182" s="22">
        <v>165</v>
      </c>
      <c r="H182" s="22"/>
      <c r="I182" s="23">
        <f>G182*B182</f>
        <v>330</v>
      </c>
    </row>
    <row r="183" spans="1:9" s="2" customFormat="1" ht="12">
      <c r="A183" s="9" t="s">
        <v>46</v>
      </c>
      <c r="B183" s="8">
        <v>1</v>
      </c>
      <c r="C183" s="24" t="s">
        <v>139</v>
      </c>
      <c r="D183" s="10"/>
      <c r="E183" s="10"/>
      <c r="F183" s="10"/>
      <c r="G183" s="22">
        <v>265</v>
      </c>
      <c r="H183" s="22"/>
      <c r="I183" s="23">
        <f>G183*B183</f>
        <v>265</v>
      </c>
    </row>
    <row r="184" spans="1:9" s="2" customFormat="1" ht="12">
      <c r="A184" s="9" t="s">
        <v>47</v>
      </c>
      <c r="B184" s="8">
        <v>3</v>
      </c>
      <c r="C184" s="24" t="s">
        <v>138</v>
      </c>
      <c r="D184" s="10"/>
      <c r="E184" s="10"/>
      <c r="F184" s="10"/>
      <c r="G184" s="22">
        <v>58</v>
      </c>
      <c r="H184" s="22"/>
      <c r="I184" s="23">
        <f>G184*B184</f>
        <v>174</v>
      </c>
    </row>
    <row r="185" spans="1:9" s="2" customFormat="1" ht="12">
      <c r="A185" s="9" t="s">
        <v>48</v>
      </c>
      <c r="B185" s="8">
        <v>2</v>
      </c>
      <c r="C185" s="24" t="s">
        <v>142</v>
      </c>
      <c r="D185" s="10"/>
      <c r="E185" s="10"/>
      <c r="F185" s="10"/>
      <c r="G185" s="22">
        <v>58</v>
      </c>
      <c r="H185" s="22"/>
      <c r="I185" s="23">
        <f>G185*B185</f>
        <v>116</v>
      </c>
    </row>
    <row r="186" spans="1:9" s="2" customFormat="1" ht="12">
      <c r="A186" s="9" t="s">
        <v>49</v>
      </c>
      <c r="B186" s="8">
        <v>1</v>
      </c>
      <c r="C186" s="24" t="s">
        <v>77</v>
      </c>
      <c r="D186" s="10"/>
      <c r="E186" s="10"/>
      <c r="F186" s="10"/>
      <c r="G186" s="22">
        <v>58</v>
      </c>
      <c r="H186" s="22"/>
      <c r="I186" s="23">
        <f t="shared" ref="I186:I189" si="12">G186*B186</f>
        <v>58</v>
      </c>
    </row>
    <row r="187" spans="1:9" s="2" customFormat="1" ht="12">
      <c r="A187" s="9" t="s">
        <v>57</v>
      </c>
      <c r="B187" s="8">
        <v>1</v>
      </c>
      <c r="C187" s="24" t="s">
        <v>131</v>
      </c>
      <c r="D187" s="10"/>
      <c r="E187" s="10"/>
      <c r="F187" s="10"/>
      <c r="G187" s="22">
        <v>135</v>
      </c>
      <c r="H187" s="22"/>
      <c r="I187" s="23">
        <f t="shared" si="12"/>
        <v>135</v>
      </c>
    </row>
    <row r="188" spans="1:9" s="2" customFormat="1" ht="12">
      <c r="A188" s="9" t="s">
        <v>56</v>
      </c>
      <c r="B188" s="8">
        <v>1</v>
      </c>
      <c r="C188" s="24" t="s">
        <v>132</v>
      </c>
      <c r="D188" s="10"/>
      <c r="E188" s="10"/>
      <c r="F188" s="10"/>
      <c r="G188" s="22">
        <v>38</v>
      </c>
      <c r="H188" s="22"/>
      <c r="I188" s="23">
        <f t="shared" si="12"/>
        <v>38</v>
      </c>
    </row>
    <row r="189" spans="1:9" s="2" customFormat="1" ht="12">
      <c r="A189" s="2" t="s">
        <v>52</v>
      </c>
      <c r="B189" s="8">
        <v>1</v>
      </c>
      <c r="C189" s="24" t="s">
        <v>133</v>
      </c>
      <c r="D189" s="10"/>
      <c r="E189" s="10"/>
      <c r="F189" s="10"/>
      <c r="G189" s="22">
        <v>38</v>
      </c>
      <c r="H189" s="22"/>
      <c r="I189" s="23">
        <f t="shared" si="12"/>
        <v>38</v>
      </c>
    </row>
    <row r="190" spans="1:9" s="2" customFormat="1" ht="12">
      <c r="A190" s="9"/>
      <c r="B190" s="8"/>
      <c r="C190" s="24"/>
      <c r="D190" s="10"/>
      <c r="E190" s="10"/>
      <c r="F190" s="10"/>
      <c r="G190" s="22"/>
      <c r="H190" s="22"/>
      <c r="I190" s="23"/>
    </row>
    <row r="191" spans="1:9" s="2" customFormat="1" ht="12">
      <c r="A191" s="54" t="s">
        <v>121</v>
      </c>
      <c r="B191" s="54"/>
      <c r="C191" s="54"/>
      <c r="D191" s="54"/>
      <c r="E191" s="54"/>
      <c r="F191" s="54"/>
      <c r="G191" s="54"/>
      <c r="H191" s="54"/>
      <c r="I191" s="56">
        <f>SUM(I194:I199)</f>
        <v>925</v>
      </c>
    </row>
    <row r="192" spans="1:9" s="2" customFormat="1" ht="12">
      <c r="A192" s="55"/>
      <c r="B192" s="55"/>
      <c r="C192" s="55"/>
      <c r="D192" s="55"/>
      <c r="E192" s="55"/>
      <c r="F192" s="55"/>
      <c r="G192" s="55"/>
      <c r="H192" s="55"/>
      <c r="I192" s="57"/>
    </row>
    <row r="193" spans="1:9" s="2" customFormat="1" ht="12">
      <c r="H193" s="5"/>
    </row>
    <row r="194" spans="1:9" s="2" customFormat="1" ht="12">
      <c r="A194" s="2" t="s">
        <v>3</v>
      </c>
      <c r="B194" s="8">
        <v>1</v>
      </c>
      <c r="C194" s="24" t="s">
        <v>141</v>
      </c>
      <c r="D194" s="10"/>
      <c r="E194" s="10"/>
      <c r="F194" s="10"/>
      <c r="G194" s="22">
        <v>78</v>
      </c>
      <c r="H194" s="22"/>
      <c r="I194" s="23">
        <f>G194*B194</f>
        <v>78</v>
      </c>
    </row>
    <row r="195" spans="1:9" s="2" customFormat="1" ht="12">
      <c r="A195" s="2" t="s">
        <v>4</v>
      </c>
      <c r="B195" s="8">
        <v>1</v>
      </c>
      <c r="C195" s="24" t="s">
        <v>115</v>
      </c>
      <c r="D195" s="10"/>
      <c r="E195" s="10"/>
      <c r="F195" s="10"/>
      <c r="G195" s="22">
        <v>78</v>
      </c>
      <c r="H195" s="22"/>
      <c r="I195" s="23">
        <f t="shared" ref="I195:I199" si="13">G195*B195</f>
        <v>78</v>
      </c>
    </row>
    <row r="196" spans="1:9" s="2" customFormat="1" ht="12">
      <c r="A196" s="2" t="s">
        <v>33</v>
      </c>
      <c r="B196" s="8">
        <v>1</v>
      </c>
      <c r="C196" s="24" t="s">
        <v>129</v>
      </c>
      <c r="D196" s="10"/>
      <c r="E196" s="10"/>
      <c r="F196" s="10"/>
      <c r="G196" s="22">
        <v>58</v>
      </c>
      <c r="H196" s="22"/>
      <c r="I196" s="23">
        <f t="shared" si="13"/>
        <v>58</v>
      </c>
    </row>
    <row r="197" spans="1:9" s="2" customFormat="1" ht="12">
      <c r="A197" s="2" t="s">
        <v>34</v>
      </c>
      <c r="B197" s="8">
        <v>2</v>
      </c>
      <c r="C197" s="24" t="s">
        <v>116</v>
      </c>
      <c r="D197" s="10"/>
      <c r="E197" s="10"/>
      <c r="F197" s="10"/>
      <c r="G197" s="22">
        <v>165</v>
      </c>
      <c r="H197" s="22"/>
      <c r="I197" s="23">
        <f t="shared" si="13"/>
        <v>330</v>
      </c>
    </row>
    <row r="198" spans="1:9" s="2" customFormat="1" ht="12">
      <c r="A198" s="2" t="s">
        <v>46</v>
      </c>
      <c r="B198" s="8">
        <v>1</v>
      </c>
      <c r="C198" s="24" t="s">
        <v>139</v>
      </c>
      <c r="D198" s="10"/>
      <c r="E198" s="10"/>
      <c r="F198" s="10"/>
      <c r="G198" s="22">
        <v>265</v>
      </c>
      <c r="H198" s="22"/>
      <c r="I198" s="23">
        <f t="shared" si="13"/>
        <v>265</v>
      </c>
    </row>
    <row r="199" spans="1:9" s="2" customFormat="1" ht="12">
      <c r="A199" s="2" t="s">
        <v>47</v>
      </c>
      <c r="B199" s="8">
        <v>2</v>
      </c>
      <c r="C199" s="24" t="s">
        <v>142</v>
      </c>
      <c r="D199" s="10"/>
      <c r="E199" s="10"/>
      <c r="F199" s="10"/>
      <c r="G199" s="22">
        <v>58</v>
      </c>
      <c r="H199" s="22"/>
      <c r="I199" s="23">
        <f t="shared" si="13"/>
        <v>116</v>
      </c>
    </row>
    <row r="200" spans="1:9" s="2" customFormat="1" ht="12">
      <c r="A200" s="9"/>
      <c r="B200" s="8"/>
      <c r="C200" s="24"/>
      <c r="D200" s="10"/>
      <c r="E200" s="10"/>
      <c r="F200" s="10"/>
      <c r="G200" s="22"/>
      <c r="H200" s="22"/>
      <c r="I200" s="23"/>
    </row>
    <row r="201" spans="1:9" s="2" customFormat="1" ht="12">
      <c r="A201" s="54" t="s">
        <v>143</v>
      </c>
      <c r="B201" s="54"/>
      <c r="C201" s="54"/>
      <c r="D201" s="54"/>
      <c r="E201" s="54"/>
      <c r="F201" s="54"/>
      <c r="G201" s="54"/>
      <c r="H201" s="54"/>
      <c r="I201" s="56">
        <f>SUM(I204:I210)</f>
        <v>973</v>
      </c>
    </row>
    <row r="202" spans="1:9" s="2" customFormat="1" ht="12">
      <c r="A202" s="55"/>
      <c r="B202" s="55"/>
      <c r="C202" s="55"/>
      <c r="D202" s="55"/>
      <c r="E202" s="55"/>
      <c r="F202" s="55"/>
      <c r="G202" s="55"/>
      <c r="H202" s="55"/>
      <c r="I202" s="57"/>
    </row>
    <row r="203" spans="1:9" s="2" customFormat="1" ht="12">
      <c r="H203" s="5"/>
    </row>
    <row r="204" spans="1:9" s="2" customFormat="1" ht="12">
      <c r="A204" s="2" t="s">
        <v>3</v>
      </c>
      <c r="B204" s="8">
        <v>1</v>
      </c>
      <c r="C204" s="24" t="s">
        <v>141</v>
      </c>
      <c r="D204" s="10"/>
      <c r="E204" s="10"/>
      <c r="F204" s="10"/>
      <c r="G204" s="22">
        <v>78</v>
      </c>
      <c r="H204" s="22"/>
      <c r="I204" s="23">
        <f>G204*B204</f>
        <v>78</v>
      </c>
    </row>
    <row r="205" spans="1:9" s="2" customFormat="1" ht="12">
      <c r="A205" s="2" t="s">
        <v>4</v>
      </c>
      <c r="B205" s="8">
        <v>1</v>
      </c>
      <c r="C205" s="24" t="s">
        <v>115</v>
      </c>
      <c r="D205" s="10"/>
      <c r="E205" s="10"/>
      <c r="F205" s="10"/>
      <c r="G205" s="22">
        <v>78</v>
      </c>
      <c r="H205" s="22"/>
      <c r="I205" s="23">
        <f t="shared" ref="I205:I210" si="14">G205*B205</f>
        <v>78</v>
      </c>
    </row>
    <row r="206" spans="1:9" s="2" customFormat="1" ht="12">
      <c r="A206" s="2" t="s">
        <v>33</v>
      </c>
      <c r="B206" s="8">
        <v>1</v>
      </c>
      <c r="C206" s="24" t="s">
        <v>129</v>
      </c>
      <c r="D206" s="10"/>
      <c r="E206" s="10"/>
      <c r="F206" s="10"/>
      <c r="G206" s="22">
        <v>58</v>
      </c>
      <c r="H206" s="22"/>
      <c r="I206" s="23">
        <f t="shared" si="14"/>
        <v>58</v>
      </c>
    </row>
    <row r="207" spans="1:9" s="2" customFormat="1" ht="12">
      <c r="A207" s="2" t="s">
        <v>34</v>
      </c>
      <c r="B207" s="8">
        <v>2</v>
      </c>
      <c r="C207" s="24" t="s">
        <v>116</v>
      </c>
      <c r="D207" s="10"/>
      <c r="E207" s="10"/>
      <c r="F207" s="10"/>
      <c r="G207" s="22">
        <v>165</v>
      </c>
      <c r="H207" s="22"/>
      <c r="I207" s="23">
        <f t="shared" si="14"/>
        <v>330</v>
      </c>
    </row>
    <row r="208" spans="1:9" s="2" customFormat="1" ht="12">
      <c r="A208" s="2" t="s">
        <v>46</v>
      </c>
      <c r="B208" s="8">
        <v>1</v>
      </c>
      <c r="C208" s="24" t="s">
        <v>139</v>
      </c>
      <c r="D208" s="10"/>
      <c r="E208" s="10"/>
      <c r="F208" s="10"/>
      <c r="G208" s="22">
        <v>265</v>
      </c>
      <c r="H208" s="22"/>
      <c r="I208" s="23">
        <f t="shared" si="14"/>
        <v>265</v>
      </c>
    </row>
    <row r="209" spans="1:9" s="2" customFormat="1" ht="12">
      <c r="A209" s="2" t="s">
        <v>47</v>
      </c>
      <c r="B209" s="8">
        <v>2</v>
      </c>
      <c r="C209" s="24" t="s">
        <v>142</v>
      </c>
      <c r="D209" s="10"/>
      <c r="E209" s="10"/>
      <c r="F209" s="10"/>
      <c r="G209" s="22">
        <v>58</v>
      </c>
      <c r="H209" s="22"/>
      <c r="I209" s="23">
        <f t="shared" si="14"/>
        <v>116</v>
      </c>
    </row>
    <row r="210" spans="1:9" s="2" customFormat="1" ht="12">
      <c r="A210" s="9" t="s">
        <v>48</v>
      </c>
      <c r="B210" s="8">
        <v>1</v>
      </c>
      <c r="C210" s="24" t="s">
        <v>108</v>
      </c>
      <c r="D210" s="10"/>
      <c r="E210" s="10"/>
      <c r="F210" s="10"/>
      <c r="G210" s="22">
        <v>48</v>
      </c>
      <c r="H210" s="22"/>
      <c r="I210" s="23">
        <f t="shared" si="14"/>
        <v>48</v>
      </c>
    </row>
    <row r="211" spans="1:9" s="2" customFormat="1" ht="12">
      <c r="A211" s="9"/>
      <c r="B211" s="8"/>
      <c r="C211" s="24"/>
      <c r="D211" s="10"/>
      <c r="E211" s="10"/>
      <c r="F211" s="10"/>
      <c r="G211" s="22"/>
      <c r="H211" s="22"/>
      <c r="I211" s="23"/>
    </row>
    <row r="212" spans="1:9" s="2" customFormat="1" ht="12">
      <c r="A212" s="54" t="s">
        <v>144</v>
      </c>
      <c r="B212" s="54"/>
      <c r="C212" s="54"/>
      <c r="D212" s="54"/>
      <c r="E212" s="54"/>
      <c r="F212" s="54"/>
      <c r="G212" s="54"/>
      <c r="H212" s="6"/>
      <c r="I212" s="56">
        <f>SUM(I215:I254)</f>
        <v>14332</v>
      </c>
    </row>
    <row r="213" spans="1:9" s="2" customFormat="1" ht="12">
      <c r="A213" s="55"/>
      <c r="B213" s="55"/>
      <c r="C213" s="55"/>
      <c r="D213" s="55"/>
      <c r="E213" s="55"/>
      <c r="F213" s="55"/>
      <c r="G213" s="55"/>
      <c r="H213" s="7"/>
      <c r="I213" s="57"/>
    </row>
    <row r="214" spans="1:9" s="2" customFormat="1" ht="12">
      <c r="H214" s="5"/>
    </row>
    <row r="215" spans="1:9" s="2" customFormat="1" ht="12">
      <c r="A215" s="2" t="s">
        <v>3</v>
      </c>
      <c r="B215" s="10">
        <v>6</v>
      </c>
      <c r="C215" s="2" t="s">
        <v>145</v>
      </c>
      <c r="G215" s="18">
        <v>310</v>
      </c>
      <c r="H215" s="5"/>
      <c r="I215" s="18">
        <f>G215*B215</f>
        <v>1860</v>
      </c>
    </row>
    <row r="216" spans="1:9" s="2" customFormat="1" ht="12">
      <c r="A216" s="2" t="s">
        <v>4</v>
      </c>
      <c r="B216" s="10">
        <v>85</v>
      </c>
      <c r="C216" s="2" t="s">
        <v>78</v>
      </c>
      <c r="G216" s="18">
        <v>58</v>
      </c>
      <c r="H216" s="5"/>
      <c r="I216" s="18">
        <f t="shared" ref="I216:I241" si="15">G216*B216</f>
        <v>4930</v>
      </c>
    </row>
    <row r="217" spans="1:9" s="2" customFormat="1" ht="12">
      <c r="A217" s="2" t="s">
        <v>33</v>
      </c>
      <c r="B217" s="10">
        <v>9</v>
      </c>
      <c r="C217" s="2" t="s">
        <v>55</v>
      </c>
      <c r="G217" s="18">
        <v>115</v>
      </c>
      <c r="H217" s="5"/>
      <c r="I217" s="18">
        <f t="shared" si="15"/>
        <v>1035</v>
      </c>
    </row>
    <row r="218" spans="1:9" s="2" customFormat="1" ht="12">
      <c r="A218" s="2" t="s">
        <v>34</v>
      </c>
      <c r="B218" s="10">
        <v>3</v>
      </c>
      <c r="C218" s="24" t="s">
        <v>139</v>
      </c>
      <c r="G218" s="18">
        <v>265</v>
      </c>
      <c r="H218" s="5"/>
      <c r="I218" s="18">
        <f t="shared" si="15"/>
        <v>795</v>
      </c>
    </row>
    <row r="219" spans="1:9" s="2" customFormat="1" ht="12">
      <c r="A219" s="2" t="s">
        <v>46</v>
      </c>
      <c r="B219" s="10">
        <v>4</v>
      </c>
      <c r="C219" s="2" t="s">
        <v>129</v>
      </c>
      <c r="G219" s="18">
        <v>110</v>
      </c>
      <c r="H219" s="5"/>
      <c r="I219" s="18">
        <f t="shared" si="15"/>
        <v>440</v>
      </c>
    </row>
    <row r="220" spans="1:9" s="2" customFormat="1" ht="12">
      <c r="A220" s="2" t="s">
        <v>47</v>
      </c>
      <c r="B220" s="10">
        <v>4</v>
      </c>
      <c r="C220" s="2" t="s">
        <v>116</v>
      </c>
      <c r="G220" s="18">
        <v>165</v>
      </c>
      <c r="H220" s="5"/>
      <c r="I220" s="18">
        <f t="shared" si="15"/>
        <v>660</v>
      </c>
    </row>
    <row r="221" spans="1:9" s="2" customFormat="1" ht="12">
      <c r="A221" s="2" t="s">
        <v>48</v>
      </c>
      <c r="B221" s="10">
        <v>18</v>
      </c>
      <c r="C221" s="2" t="s">
        <v>146</v>
      </c>
      <c r="G221" s="18">
        <v>48</v>
      </c>
      <c r="H221" s="5"/>
      <c r="I221" s="18">
        <f t="shared" si="15"/>
        <v>864</v>
      </c>
    </row>
    <row r="222" spans="1:9" s="2" customFormat="1" ht="12">
      <c r="A222" s="2" t="s">
        <v>49</v>
      </c>
      <c r="B222" s="10">
        <v>5</v>
      </c>
      <c r="C222" s="2" t="s">
        <v>147</v>
      </c>
      <c r="G222" s="18">
        <v>48</v>
      </c>
      <c r="H222" s="5"/>
      <c r="I222" s="18">
        <f t="shared" si="15"/>
        <v>240</v>
      </c>
    </row>
    <row r="223" spans="1:9" s="2" customFormat="1" ht="12">
      <c r="A223" s="2" t="s">
        <v>50</v>
      </c>
      <c r="B223" s="10">
        <v>5</v>
      </c>
      <c r="C223" s="2" t="s">
        <v>108</v>
      </c>
      <c r="G223" s="18">
        <v>48</v>
      </c>
      <c r="H223" s="5"/>
      <c r="I223" s="18">
        <f t="shared" si="15"/>
        <v>240</v>
      </c>
    </row>
    <row r="224" spans="1:9" s="2" customFormat="1" ht="12">
      <c r="A224" s="2" t="s">
        <v>51</v>
      </c>
      <c r="B224" s="10">
        <v>2</v>
      </c>
      <c r="C224" s="2" t="s">
        <v>85</v>
      </c>
      <c r="G224" s="18">
        <v>78</v>
      </c>
      <c r="H224" s="47"/>
      <c r="I224" s="18">
        <f>G224*B224</f>
        <v>156</v>
      </c>
    </row>
    <row r="225" spans="1:9" s="2" customFormat="1" ht="12">
      <c r="B225" s="10"/>
      <c r="G225" s="18"/>
      <c r="H225" s="47"/>
      <c r="I225" s="18"/>
    </row>
    <row r="226" spans="1:9" s="2" customFormat="1" ht="12">
      <c r="B226" s="10"/>
      <c r="G226" s="18"/>
      <c r="H226" s="47"/>
      <c r="I226" s="18"/>
    </row>
    <row r="227" spans="1:9" s="2" customFormat="1" ht="12">
      <c r="B227" s="10"/>
      <c r="G227" s="18"/>
      <c r="H227" s="47"/>
      <c r="I227" s="18"/>
    </row>
    <row r="228" spans="1:9" s="2" customFormat="1" ht="12">
      <c r="B228" s="10"/>
      <c r="G228" s="18"/>
      <c r="H228" s="47"/>
      <c r="I228" s="18"/>
    </row>
    <row r="229" spans="1:9" s="2" customFormat="1" ht="12">
      <c r="B229" s="10"/>
      <c r="G229" s="18"/>
      <c r="H229" s="47"/>
      <c r="I229" s="18"/>
    </row>
    <row r="230" spans="1:9" s="2" customFormat="1" ht="12">
      <c r="B230" s="10"/>
      <c r="G230" s="18"/>
      <c r="H230" s="47"/>
      <c r="I230" s="18"/>
    </row>
    <row r="231" spans="1:9" s="2" customFormat="1" ht="12.95" customHeight="1">
      <c r="A231" s="2" t="s">
        <v>37</v>
      </c>
      <c r="B231" s="10"/>
      <c r="E231" s="33" t="s">
        <v>38</v>
      </c>
      <c r="F231" s="10" t="str">
        <f>D11</f>
        <v>2108AC01S</v>
      </c>
      <c r="G231" s="53" t="str">
        <f>D16</f>
        <v>TAPESTRY</v>
      </c>
      <c r="H231" s="53"/>
      <c r="I231" s="39" t="s">
        <v>40</v>
      </c>
    </row>
    <row r="232" spans="1:9" s="2" customFormat="1" ht="12">
      <c r="B232" s="10"/>
      <c r="G232" s="18"/>
      <c r="H232" s="47"/>
      <c r="I232" s="18"/>
    </row>
    <row r="233" spans="1:9" s="2" customFormat="1" ht="12">
      <c r="A233" s="82" t="s">
        <v>176</v>
      </c>
      <c r="B233" s="82"/>
      <c r="C233" s="82"/>
      <c r="D233" s="82"/>
      <c r="E233" s="82"/>
      <c r="F233" s="82"/>
      <c r="G233" s="82"/>
      <c r="H233" s="82"/>
      <c r="I233" s="18"/>
    </row>
    <row r="234" spans="1:9" s="2" customFormat="1" ht="12">
      <c r="A234" s="82"/>
      <c r="B234" s="82"/>
      <c r="C234" s="82"/>
      <c r="D234" s="82"/>
      <c r="E234" s="82"/>
      <c r="F234" s="82"/>
      <c r="G234" s="82"/>
      <c r="H234" s="82"/>
      <c r="I234" s="18"/>
    </row>
    <row r="235" spans="1:9" s="2" customFormat="1" ht="12">
      <c r="B235" s="10"/>
      <c r="G235" s="18"/>
      <c r="H235" s="47"/>
      <c r="I235" s="18"/>
    </row>
    <row r="236" spans="1:9" s="2" customFormat="1" ht="12">
      <c r="A236" s="2" t="s">
        <v>52</v>
      </c>
      <c r="B236" s="10">
        <v>1</v>
      </c>
      <c r="C236" s="2" t="s">
        <v>155</v>
      </c>
      <c r="G236" s="18">
        <v>78</v>
      </c>
      <c r="H236" s="47"/>
      <c r="I236" s="18">
        <f>G236*B236</f>
        <v>78</v>
      </c>
    </row>
    <row r="237" spans="1:9" s="2" customFormat="1" ht="12">
      <c r="A237" s="2" t="s">
        <v>86</v>
      </c>
      <c r="B237" s="10">
        <v>1</v>
      </c>
      <c r="C237" s="2" t="s">
        <v>148</v>
      </c>
      <c r="G237" s="18">
        <v>78</v>
      </c>
      <c r="H237" s="5"/>
      <c r="I237" s="18">
        <f t="shared" si="15"/>
        <v>78</v>
      </c>
    </row>
    <row r="238" spans="1:9" s="2" customFormat="1" ht="12">
      <c r="A238" s="2" t="s">
        <v>87</v>
      </c>
      <c r="B238" s="10">
        <v>1</v>
      </c>
      <c r="C238" s="2" t="s">
        <v>149</v>
      </c>
      <c r="G238" s="18">
        <v>78</v>
      </c>
      <c r="H238" s="5"/>
      <c r="I238" s="18">
        <f t="shared" si="15"/>
        <v>78</v>
      </c>
    </row>
    <row r="239" spans="1:9" s="2" customFormat="1" ht="12">
      <c r="A239" s="2" t="s">
        <v>79</v>
      </c>
      <c r="B239" s="10">
        <v>5</v>
      </c>
      <c r="C239" s="2" t="s">
        <v>152</v>
      </c>
      <c r="G239" s="18">
        <v>78</v>
      </c>
      <c r="H239" s="5"/>
      <c r="I239" s="18">
        <f t="shared" si="15"/>
        <v>390</v>
      </c>
    </row>
    <row r="240" spans="1:9" s="2" customFormat="1" ht="12">
      <c r="A240" s="2" t="s">
        <v>80</v>
      </c>
      <c r="B240" s="10">
        <v>4</v>
      </c>
      <c r="C240" s="2" t="s">
        <v>153</v>
      </c>
      <c r="G240" s="18">
        <v>78</v>
      </c>
      <c r="H240" s="5"/>
      <c r="I240" s="18">
        <f t="shared" si="15"/>
        <v>312</v>
      </c>
    </row>
    <row r="241" spans="1:9" s="2" customFormat="1" ht="12">
      <c r="A241" s="2" t="s">
        <v>81</v>
      </c>
      <c r="B241" s="10">
        <v>1</v>
      </c>
      <c r="C241" s="2" t="s">
        <v>154</v>
      </c>
      <c r="G241" s="18">
        <v>210</v>
      </c>
      <c r="H241" s="5"/>
      <c r="I241" s="18">
        <f t="shared" si="15"/>
        <v>210</v>
      </c>
    </row>
    <row r="242" spans="1:9" s="2" customFormat="1" ht="12">
      <c r="A242" s="2" t="s">
        <v>82</v>
      </c>
      <c r="B242" s="10">
        <v>2</v>
      </c>
      <c r="C242" s="2" t="s">
        <v>65</v>
      </c>
      <c r="G242" s="18">
        <v>98</v>
      </c>
      <c r="H242" s="5"/>
      <c r="I242" s="18">
        <f t="shared" ref="I242:I254" si="16">G242*B242</f>
        <v>196</v>
      </c>
    </row>
    <row r="243" spans="1:9" s="2" customFormat="1" ht="12">
      <c r="A243" s="2" t="s">
        <v>84</v>
      </c>
      <c r="B243" s="10">
        <v>2</v>
      </c>
      <c r="C243" s="2" t="s">
        <v>66</v>
      </c>
      <c r="G243" s="18">
        <v>98</v>
      </c>
      <c r="H243" s="18"/>
      <c r="I243" s="18">
        <f t="shared" si="16"/>
        <v>196</v>
      </c>
    </row>
    <row r="244" spans="1:9" s="2" customFormat="1" ht="12">
      <c r="A244" s="2" t="s">
        <v>83</v>
      </c>
      <c r="B244" s="10">
        <v>2</v>
      </c>
      <c r="C244" s="2" t="s">
        <v>157</v>
      </c>
      <c r="G244" s="18">
        <v>78</v>
      </c>
      <c r="H244" s="18"/>
      <c r="I244" s="18">
        <f t="shared" si="16"/>
        <v>156</v>
      </c>
    </row>
    <row r="245" spans="1:9" s="2" customFormat="1" ht="12">
      <c r="A245" s="2" t="s">
        <v>91</v>
      </c>
      <c r="B245" s="10">
        <v>1</v>
      </c>
      <c r="C245" s="2" t="s">
        <v>90</v>
      </c>
      <c r="G245" s="18">
        <v>425</v>
      </c>
      <c r="H245" s="18"/>
      <c r="I245" s="18">
        <f t="shared" si="16"/>
        <v>425</v>
      </c>
    </row>
    <row r="246" spans="1:9" s="2" customFormat="1" ht="12">
      <c r="A246" s="2" t="s">
        <v>88</v>
      </c>
      <c r="B246" s="10">
        <v>1</v>
      </c>
      <c r="C246" s="2" t="s">
        <v>89</v>
      </c>
      <c r="G246" s="18">
        <v>58</v>
      </c>
      <c r="H246" s="18"/>
      <c r="I246" s="18">
        <f t="shared" si="16"/>
        <v>58</v>
      </c>
    </row>
    <row r="247" spans="1:9" s="2" customFormat="1" ht="12">
      <c r="A247" s="2" t="s">
        <v>92</v>
      </c>
      <c r="B247" s="10">
        <v>1</v>
      </c>
      <c r="C247" s="2" t="s">
        <v>77</v>
      </c>
      <c r="G247" s="18">
        <v>78</v>
      </c>
      <c r="H247" s="18"/>
      <c r="I247" s="18">
        <f t="shared" si="16"/>
        <v>78</v>
      </c>
    </row>
    <row r="248" spans="1:9" s="2" customFormat="1" ht="12">
      <c r="A248" s="2" t="s">
        <v>150</v>
      </c>
      <c r="B248" s="10">
        <v>1</v>
      </c>
      <c r="C248" s="2" t="s">
        <v>159</v>
      </c>
      <c r="G248" s="18">
        <v>145</v>
      </c>
      <c r="H248" s="18"/>
      <c r="I248" s="18">
        <f t="shared" si="16"/>
        <v>145</v>
      </c>
    </row>
    <row r="249" spans="1:9" s="2" customFormat="1" ht="12">
      <c r="A249" s="2" t="s">
        <v>151</v>
      </c>
      <c r="B249" s="10">
        <v>1</v>
      </c>
      <c r="C249" s="2" t="s">
        <v>132</v>
      </c>
      <c r="G249" s="18">
        <v>38</v>
      </c>
      <c r="H249" s="18"/>
      <c r="I249" s="18">
        <f t="shared" si="16"/>
        <v>38</v>
      </c>
    </row>
    <row r="250" spans="1:9" s="2" customFormat="1" ht="12">
      <c r="A250" s="2" t="s">
        <v>156</v>
      </c>
      <c r="B250" s="10">
        <v>1</v>
      </c>
      <c r="C250" s="2" t="s">
        <v>133</v>
      </c>
      <c r="G250" s="18">
        <v>38</v>
      </c>
      <c r="H250" s="18"/>
      <c r="I250" s="18">
        <f t="shared" si="16"/>
        <v>38</v>
      </c>
    </row>
    <row r="251" spans="1:9" s="2" customFormat="1" ht="12">
      <c r="A251" s="2" t="s">
        <v>158</v>
      </c>
      <c r="B251" s="10">
        <v>6</v>
      </c>
      <c r="C251" s="2" t="s">
        <v>93</v>
      </c>
      <c r="G251" s="18">
        <v>58</v>
      </c>
      <c r="H251" s="18"/>
      <c r="I251" s="18">
        <f t="shared" si="16"/>
        <v>348</v>
      </c>
    </row>
    <row r="252" spans="1:9" s="2" customFormat="1" ht="12">
      <c r="A252" s="2" t="s">
        <v>160</v>
      </c>
      <c r="B252" s="10">
        <v>1</v>
      </c>
      <c r="C252" s="2" t="s">
        <v>63</v>
      </c>
      <c r="G252" s="18">
        <v>68</v>
      </c>
      <c r="H252" s="18"/>
      <c r="I252" s="18">
        <f t="shared" si="16"/>
        <v>68</v>
      </c>
    </row>
    <row r="253" spans="1:9" s="2" customFormat="1" ht="12">
      <c r="A253" s="2" t="s">
        <v>161</v>
      </c>
      <c r="B253" s="10">
        <v>1</v>
      </c>
      <c r="C253" s="2" t="s">
        <v>64</v>
      </c>
      <c r="G253" s="18">
        <v>110</v>
      </c>
      <c r="H253" s="18"/>
      <c r="I253" s="18">
        <f t="shared" si="16"/>
        <v>110</v>
      </c>
    </row>
    <row r="254" spans="1:9" s="2" customFormat="1" ht="12">
      <c r="A254" s="2" t="s">
        <v>193</v>
      </c>
      <c r="B254" s="10">
        <v>1</v>
      </c>
      <c r="C254" s="2" t="s">
        <v>194</v>
      </c>
      <c r="G254" s="18">
        <v>110</v>
      </c>
      <c r="H254" s="18"/>
      <c r="I254" s="18">
        <f t="shared" si="16"/>
        <v>110</v>
      </c>
    </row>
    <row r="255" spans="1:9" s="2" customFormat="1" ht="12">
      <c r="B255" s="10"/>
      <c r="G255" s="18"/>
      <c r="H255" s="18"/>
      <c r="I255" s="18"/>
    </row>
    <row r="256" spans="1:9" s="2" customFormat="1" ht="12">
      <c r="A256" s="54" t="s">
        <v>177</v>
      </c>
      <c r="B256" s="54"/>
      <c r="C256" s="54"/>
      <c r="D256" s="54"/>
      <c r="E256" s="54"/>
      <c r="F256" s="54"/>
      <c r="G256" s="54"/>
      <c r="H256" s="6"/>
      <c r="I256" s="56">
        <f>SUM(I259:I273)</f>
        <v>10264</v>
      </c>
    </row>
    <row r="257" spans="1:9" s="2" customFormat="1" ht="12">
      <c r="A257" s="55"/>
      <c r="B257" s="55"/>
      <c r="C257" s="55"/>
      <c r="D257" s="55"/>
      <c r="E257" s="55"/>
      <c r="F257" s="55"/>
      <c r="G257" s="55"/>
      <c r="H257" s="7"/>
      <c r="I257" s="57"/>
    </row>
    <row r="258" spans="1:9" s="2" customFormat="1" ht="12">
      <c r="H258" s="5"/>
    </row>
    <row r="259" spans="1:9" s="2" customFormat="1" ht="12">
      <c r="A259" s="2" t="s">
        <v>31</v>
      </c>
      <c r="B259" s="10">
        <v>93</v>
      </c>
      <c r="C259" s="2" t="s">
        <v>78</v>
      </c>
      <c r="G259" s="18">
        <v>58</v>
      </c>
      <c r="H259" s="18"/>
      <c r="I259" s="18">
        <f t="shared" ref="I259:I273" si="17">G259*B259</f>
        <v>5394</v>
      </c>
    </row>
    <row r="260" spans="1:9" s="2" customFormat="1" ht="12">
      <c r="A260" s="2" t="s">
        <v>32</v>
      </c>
      <c r="B260" s="10">
        <v>8</v>
      </c>
      <c r="C260" s="2" t="s">
        <v>55</v>
      </c>
      <c r="G260" s="18">
        <v>115</v>
      </c>
      <c r="H260" s="18"/>
      <c r="I260" s="18">
        <f t="shared" si="17"/>
        <v>920</v>
      </c>
    </row>
    <row r="261" spans="1:9" s="2" customFormat="1" ht="12">
      <c r="A261" s="2" t="s">
        <v>33</v>
      </c>
      <c r="B261" s="10">
        <v>4</v>
      </c>
      <c r="C261" s="2" t="s">
        <v>129</v>
      </c>
      <c r="G261" s="18">
        <v>58</v>
      </c>
      <c r="H261" s="18"/>
      <c r="I261" s="18">
        <f t="shared" si="17"/>
        <v>232</v>
      </c>
    </row>
    <row r="262" spans="1:9" s="2" customFormat="1" ht="12">
      <c r="A262" s="2" t="s">
        <v>34</v>
      </c>
      <c r="B262" s="10">
        <v>4</v>
      </c>
      <c r="C262" s="2" t="s">
        <v>116</v>
      </c>
      <c r="G262" s="18">
        <v>165</v>
      </c>
      <c r="H262" s="18"/>
      <c r="I262" s="18">
        <f t="shared" si="17"/>
        <v>660</v>
      </c>
    </row>
    <row r="263" spans="1:9" s="2" customFormat="1" ht="12">
      <c r="A263" s="2" t="s">
        <v>46</v>
      </c>
      <c r="B263" s="10">
        <v>1</v>
      </c>
      <c r="C263" s="2" t="s">
        <v>148</v>
      </c>
      <c r="G263" s="18">
        <v>78</v>
      </c>
      <c r="H263" s="18"/>
      <c r="I263" s="18">
        <f>G263*B263</f>
        <v>78</v>
      </c>
    </row>
    <row r="264" spans="1:9" s="2" customFormat="1" ht="12">
      <c r="A264" s="2" t="s">
        <v>47</v>
      </c>
      <c r="B264" s="10">
        <v>1</v>
      </c>
      <c r="C264" s="2" t="s">
        <v>149</v>
      </c>
      <c r="G264" s="18">
        <v>78</v>
      </c>
      <c r="H264" s="18"/>
      <c r="I264" s="18">
        <f>G264*B264</f>
        <v>78</v>
      </c>
    </row>
    <row r="265" spans="1:9" s="2" customFormat="1" ht="12">
      <c r="A265" s="2" t="s">
        <v>48</v>
      </c>
      <c r="B265" s="10">
        <v>3</v>
      </c>
      <c r="C265" s="24" t="s">
        <v>139</v>
      </c>
      <c r="G265" s="18">
        <v>265</v>
      </c>
      <c r="H265" s="18"/>
      <c r="I265" s="18">
        <f t="shared" si="17"/>
        <v>795</v>
      </c>
    </row>
    <row r="266" spans="1:9" s="2" customFormat="1" ht="12">
      <c r="A266" s="2" t="s">
        <v>49</v>
      </c>
      <c r="B266" s="10">
        <v>2</v>
      </c>
      <c r="C266" s="24" t="s">
        <v>162</v>
      </c>
      <c r="G266" s="18">
        <v>58</v>
      </c>
      <c r="H266" s="18"/>
      <c r="I266" s="18">
        <f t="shared" si="17"/>
        <v>116</v>
      </c>
    </row>
    <row r="267" spans="1:9" s="2" customFormat="1" ht="12">
      <c r="A267" s="2" t="s">
        <v>50</v>
      </c>
      <c r="B267" s="10">
        <v>23</v>
      </c>
      <c r="C267" s="2" t="s">
        <v>146</v>
      </c>
      <c r="G267" s="18">
        <v>48</v>
      </c>
      <c r="H267" s="18"/>
      <c r="I267" s="18">
        <f t="shared" si="17"/>
        <v>1104</v>
      </c>
    </row>
    <row r="268" spans="1:9" s="2" customFormat="1" ht="12">
      <c r="A268" s="2" t="s">
        <v>51</v>
      </c>
      <c r="B268" s="10">
        <v>5</v>
      </c>
      <c r="C268" s="2" t="s">
        <v>147</v>
      </c>
      <c r="G268" s="18">
        <v>48</v>
      </c>
      <c r="H268" s="18"/>
      <c r="I268" s="18">
        <f t="shared" si="17"/>
        <v>240</v>
      </c>
    </row>
    <row r="269" spans="1:9" s="2" customFormat="1" ht="12">
      <c r="A269" s="2" t="s">
        <v>52</v>
      </c>
      <c r="B269" s="10">
        <v>1</v>
      </c>
      <c r="C269" s="2" t="s">
        <v>77</v>
      </c>
      <c r="G269" s="18">
        <v>78</v>
      </c>
      <c r="H269" s="18"/>
      <c r="I269" s="18">
        <f>G269*B269</f>
        <v>78</v>
      </c>
    </row>
    <row r="270" spans="1:9" s="2" customFormat="1" ht="12">
      <c r="A270" s="2" t="s">
        <v>86</v>
      </c>
      <c r="B270" s="10">
        <v>1</v>
      </c>
      <c r="C270" s="2" t="s">
        <v>159</v>
      </c>
      <c r="G270" s="18">
        <v>145</v>
      </c>
      <c r="H270" s="18"/>
      <c r="I270" s="18">
        <f>G270*B270</f>
        <v>145</v>
      </c>
    </row>
    <row r="271" spans="1:9" s="2" customFormat="1" ht="12">
      <c r="A271" s="2" t="s">
        <v>87</v>
      </c>
      <c r="B271" s="10">
        <v>1</v>
      </c>
      <c r="C271" s="2" t="s">
        <v>132</v>
      </c>
      <c r="G271" s="18">
        <v>38</v>
      </c>
      <c r="H271" s="18"/>
      <c r="I271" s="18">
        <f>G271*B271</f>
        <v>38</v>
      </c>
    </row>
    <row r="272" spans="1:9" s="2" customFormat="1" ht="12">
      <c r="A272" s="2" t="s">
        <v>79</v>
      </c>
      <c r="B272" s="10">
        <v>1</v>
      </c>
      <c r="C272" s="2" t="s">
        <v>133</v>
      </c>
      <c r="G272" s="18">
        <v>38</v>
      </c>
      <c r="H272" s="18"/>
      <c r="I272" s="18">
        <f>G272*B272</f>
        <v>38</v>
      </c>
    </row>
    <row r="273" spans="1:9" s="2" customFormat="1" ht="12">
      <c r="A273" s="2" t="s">
        <v>80</v>
      </c>
      <c r="B273" s="10">
        <v>6</v>
      </c>
      <c r="C273" s="2" t="s">
        <v>93</v>
      </c>
      <c r="G273" s="18">
        <v>58</v>
      </c>
      <c r="H273" s="18"/>
      <c r="I273" s="18">
        <f t="shared" si="17"/>
        <v>348</v>
      </c>
    </row>
    <row r="274" spans="1:9" s="2" customFormat="1">
      <c r="B274" s="10"/>
      <c r="E274" s="33"/>
      <c r="F274" s="19"/>
      <c r="G274" s="18"/>
      <c r="H274"/>
      <c r="I274" s="39"/>
    </row>
    <row r="275" spans="1:9" s="2" customFormat="1" ht="12">
      <c r="A275" s="54" t="s">
        <v>178</v>
      </c>
      <c r="B275" s="54"/>
      <c r="C275" s="54"/>
      <c r="D275" s="54"/>
      <c r="E275" s="54"/>
      <c r="F275" s="54"/>
      <c r="G275" s="54"/>
      <c r="H275" s="6"/>
      <c r="I275" s="56">
        <f>SUM(I278:I305)</f>
        <v>10264</v>
      </c>
    </row>
    <row r="276" spans="1:9" s="2" customFormat="1" ht="12">
      <c r="A276" s="55"/>
      <c r="B276" s="55"/>
      <c r="C276" s="55"/>
      <c r="D276" s="55"/>
      <c r="E276" s="55"/>
      <c r="F276" s="55"/>
      <c r="G276" s="55"/>
      <c r="H276" s="7"/>
      <c r="I276" s="57"/>
    </row>
    <row r="277" spans="1:9" s="2" customFormat="1" ht="12">
      <c r="H277" s="5"/>
    </row>
    <row r="278" spans="1:9" s="2" customFormat="1" ht="12">
      <c r="A278" s="2" t="s">
        <v>31</v>
      </c>
      <c r="B278" s="10">
        <v>93</v>
      </c>
      <c r="C278" s="2" t="s">
        <v>78</v>
      </c>
      <c r="G278" s="18">
        <v>58</v>
      </c>
      <c r="H278" s="18"/>
      <c r="I278" s="18">
        <f t="shared" ref="I278:I280" si="18">G278*B278</f>
        <v>5394</v>
      </c>
    </row>
    <row r="279" spans="1:9" s="2" customFormat="1" ht="12">
      <c r="A279" s="2" t="s">
        <v>32</v>
      </c>
      <c r="B279" s="10">
        <v>8</v>
      </c>
      <c r="C279" s="2" t="s">
        <v>55</v>
      </c>
      <c r="G279" s="18">
        <v>115</v>
      </c>
      <c r="H279" s="18"/>
      <c r="I279" s="18">
        <f t="shared" si="18"/>
        <v>920</v>
      </c>
    </row>
    <row r="280" spans="1:9" s="2" customFormat="1" ht="12">
      <c r="A280" s="2" t="s">
        <v>33</v>
      </c>
      <c r="B280" s="10">
        <v>4</v>
      </c>
      <c r="C280" s="2" t="s">
        <v>129</v>
      </c>
      <c r="G280" s="18">
        <v>58</v>
      </c>
      <c r="H280" s="18"/>
      <c r="I280" s="18">
        <f t="shared" si="18"/>
        <v>232</v>
      </c>
    </row>
    <row r="282" spans="1:9" s="2" customFormat="1" ht="12">
      <c r="B282" s="10"/>
      <c r="G282" s="18"/>
      <c r="H282" s="18"/>
      <c r="I282" s="18"/>
    </row>
    <row r="283" spans="1:9" s="2" customFormat="1" ht="12">
      <c r="B283" s="10"/>
      <c r="G283" s="18"/>
      <c r="H283" s="18"/>
      <c r="I283" s="18"/>
    </row>
    <row r="284" spans="1:9" s="2" customFormat="1" ht="12">
      <c r="B284" s="10"/>
      <c r="G284" s="18"/>
      <c r="H284" s="18"/>
      <c r="I284" s="18"/>
    </row>
    <row r="285" spans="1:9" s="2" customFormat="1" ht="12">
      <c r="B285" s="10"/>
      <c r="G285" s="18"/>
      <c r="H285" s="18"/>
      <c r="I285" s="18"/>
    </row>
    <row r="286" spans="1:9" s="2" customFormat="1" ht="12">
      <c r="B286" s="10"/>
      <c r="G286" s="18"/>
      <c r="H286" s="18"/>
      <c r="I286" s="18"/>
    </row>
    <row r="287" spans="1:9" s="2" customFormat="1" ht="12">
      <c r="B287" s="10"/>
      <c r="G287" s="18"/>
      <c r="H287" s="18"/>
      <c r="I287" s="18"/>
    </row>
    <row r="288" spans="1:9" s="2" customFormat="1" ht="12.95" customHeight="1">
      <c r="A288" s="2" t="s">
        <v>37</v>
      </c>
      <c r="B288" s="10"/>
      <c r="E288" s="33" t="s">
        <v>38</v>
      </c>
      <c r="F288" s="10" t="str">
        <f>D11</f>
        <v>2108AC01S</v>
      </c>
      <c r="G288" s="53" t="str">
        <f>D16</f>
        <v>TAPESTRY</v>
      </c>
      <c r="H288" s="53"/>
      <c r="I288" s="39" t="s">
        <v>43</v>
      </c>
    </row>
    <row r="289" spans="1:9" s="2" customFormat="1" ht="12">
      <c r="B289" s="10"/>
      <c r="G289" s="18"/>
      <c r="H289" s="18"/>
      <c r="I289" s="18"/>
    </row>
    <row r="290" spans="1:9" s="2" customFormat="1" ht="12">
      <c r="A290" s="54" t="s">
        <v>179</v>
      </c>
      <c r="B290" s="54"/>
      <c r="C290" s="54"/>
      <c r="D290" s="54"/>
      <c r="E290" s="54"/>
      <c r="F290" s="54"/>
      <c r="G290" s="54"/>
      <c r="H290" s="54"/>
      <c r="I290" s="56"/>
    </row>
    <row r="291" spans="1:9" s="2" customFormat="1" ht="12">
      <c r="A291" s="55"/>
      <c r="B291" s="55"/>
      <c r="C291" s="55"/>
      <c r="D291" s="55"/>
      <c r="E291" s="55"/>
      <c r="F291" s="55"/>
      <c r="G291" s="55"/>
      <c r="H291" s="55"/>
      <c r="I291" s="57"/>
    </row>
    <row r="292" spans="1:9" s="2" customFormat="1" ht="12">
      <c r="A292" s="43"/>
      <c r="B292" s="43"/>
      <c r="C292" s="43"/>
      <c r="D292" s="43"/>
      <c r="E292" s="43"/>
      <c r="F292" s="43"/>
      <c r="G292" s="43"/>
      <c r="H292" s="43"/>
      <c r="I292" s="50"/>
    </row>
    <row r="293" spans="1:9" s="2" customFormat="1" ht="12">
      <c r="A293" s="2" t="s">
        <v>34</v>
      </c>
      <c r="B293" s="10">
        <v>4</v>
      </c>
      <c r="C293" s="2" t="s">
        <v>116</v>
      </c>
      <c r="G293" s="18">
        <v>165</v>
      </c>
      <c r="H293" s="18"/>
      <c r="I293" s="18">
        <f>G293*B293</f>
        <v>660</v>
      </c>
    </row>
    <row r="294" spans="1:9" s="2" customFormat="1" ht="12">
      <c r="A294" s="2" t="s">
        <v>46</v>
      </c>
      <c r="B294" s="10">
        <v>1</v>
      </c>
      <c r="C294" s="2" t="s">
        <v>148</v>
      </c>
      <c r="G294" s="18">
        <v>78</v>
      </c>
      <c r="H294" s="18"/>
      <c r="I294" s="18">
        <f>G294*B294</f>
        <v>78</v>
      </c>
    </row>
    <row r="295" spans="1:9" s="2" customFormat="1" ht="12">
      <c r="A295" s="2" t="s">
        <v>47</v>
      </c>
      <c r="B295" s="10">
        <v>1</v>
      </c>
      <c r="C295" s="2" t="s">
        <v>149</v>
      </c>
      <c r="G295" s="18">
        <v>78</v>
      </c>
      <c r="H295" s="18"/>
      <c r="I295" s="18">
        <f>G295*B295</f>
        <v>78</v>
      </c>
    </row>
    <row r="296" spans="1:9" s="2" customFormat="1" ht="12">
      <c r="A296" s="2" t="s">
        <v>48</v>
      </c>
      <c r="B296" s="10">
        <v>3</v>
      </c>
      <c r="C296" s="24" t="s">
        <v>139</v>
      </c>
      <c r="G296" s="18">
        <v>265</v>
      </c>
      <c r="H296" s="18"/>
      <c r="I296" s="18">
        <f t="shared" ref="I296:I300" si="19">G296*B296</f>
        <v>795</v>
      </c>
    </row>
    <row r="297" spans="1:9" s="2" customFormat="1" ht="12">
      <c r="A297" s="2" t="s">
        <v>49</v>
      </c>
      <c r="B297" s="10">
        <v>2</v>
      </c>
      <c r="C297" s="24" t="s">
        <v>162</v>
      </c>
      <c r="G297" s="18">
        <v>58</v>
      </c>
      <c r="H297" s="18"/>
      <c r="I297" s="18">
        <f t="shared" si="19"/>
        <v>116</v>
      </c>
    </row>
    <row r="298" spans="1:9" s="2" customFormat="1" ht="12">
      <c r="A298" s="2" t="s">
        <v>50</v>
      </c>
      <c r="B298" s="10">
        <v>23</v>
      </c>
      <c r="C298" s="2" t="s">
        <v>146</v>
      </c>
      <c r="G298" s="18">
        <v>48</v>
      </c>
      <c r="H298" s="18"/>
      <c r="I298" s="18">
        <f t="shared" si="19"/>
        <v>1104</v>
      </c>
    </row>
    <row r="299" spans="1:9" s="2" customFormat="1" ht="12">
      <c r="A299" s="2" t="s">
        <v>51</v>
      </c>
      <c r="B299" s="10">
        <v>1</v>
      </c>
      <c r="C299" s="2" t="s">
        <v>147</v>
      </c>
      <c r="G299" s="18">
        <v>48</v>
      </c>
      <c r="H299" s="18"/>
      <c r="I299" s="18">
        <f t="shared" si="19"/>
        <v>48</v>
      </c>
    </row>
    <row r="300" spans="1:9" s="2" customFormat="1" ht="12">
      <c r="A300" s="2" t="s">
        <v>52</v>
      </c>
      <c r="B300" s="10">
        <v>4</v>
      </c>
      <c r="C300" s="2" t="s">
        <v>163</v>
      </c>
      <c r="G300" s="18">
        <v>48</v>
      </c>
      <c r="H300" s="18"/>
      <c r="I300" s="18">
        <f t="shared" si="19"/>
        <v>192</v>
      </c>
    </row>
    <row r="301" spans="1:9" s="2" customFormat="1" ht="12">
      <c r="A301" s="2" t="s">
        <v>86</v>
      </c>
      <c r="B301" s="10">
        <v>1</v>
      </c>
      <c r="C301" s="2" t="s">
        <v>77</v>
      </c>
      <c r="G301" s="18">
        <v>78</v>
      </c>
      <c r="H301" s="18"/>
      <c r="I301" s="18">
        <f>G301*B301</f>
        <v>78</v>
      </c>
    </row>
    <row r="302" spans="1:9" s="2" customFormat="1" ht="12">
      <c r="A302" s="2" t="s">
        <v>87</v>
      </c>
      <c r="B302" s="10">
        <v>1</v>
      </c>
      <c r="C302" s="2" t="s">
        <v>159</v>
      </c>
      <c r="G302" s="18">
        <v>145</v>
      </c>
      <c r="H302" s="18"/>
      <c r="I302" s="18">
        <f>G302*B302</f>
        <v>145</v>
      </c>
    </row>
    <row r="303" spans="1:9" s="2" customFormat="1" ht="12">
      <c r="A303" s="2" t="s">
        <v>79</v>
      </c>
      <c r="B303" s="10">
        <v>1</v>
      </c>
      <c r="C303" s="2" t="s">
        <v>132</v>
      </c>
      <c r="G303" s="18">
        <v>38</v>
      </c>
      <c r="H303" s="18"/>
      <c r="I303" s="18">
        <f>G303*B303</f>
        <v>38</v>
      </c>
    </row>
    <row r="304" spans="1:9" s="2" customFormat="1" ht="12">
      <c r="A304" s="2" t="s">
        <v>80</v>
      </c>
      <c r="B304" s="10">
        <v>1</v>
      </c>
      <c r="C304" s="2" t="s">
        <v>133</v>
      </c>
      <c r="G304" s="18">
        <v>38</v>
      </c>
      <c r="H304" s="18"/>
      <c r="I304" s="18">
        <f>G304*B304</f>
        <v>38</v>
      </c>
    </row>
    <row r="305" spans="1:9" s="2" customFormat="1" ht="12">
      <c r="A305" s="2" t="s">
        <v>81</v>
      </c>
      <c r="B305" s="10">
        <v>6</v>
      </c>
      <c r="C305" s="2" t="s">
        <v>93</v>
      </c>
      <c r="G305" s="18">
        <v>58</v>
      </c>
      <c r="H305" s="18"/>
      <c r="I305" s="18">
        <f t="shared" ref="I305" si="20">G305*B305</f>
        <v>348</v>
      </c>
    </row>
    <row r="306" spans="1:9" s="2" customFormat="1" ht="12">
      <c r="B306" s="10"/>
      <c r="G306" s="18"/>
      <c r="H306" s="18"/>
      <c r="I306" s="18"/>
    </row>
    <row r="307" spans="1:9" s="2" customFormat="1" ht="12">
      <c r="A307" s="54" t="s">
        <v>180</v>
      </c>
      <c r="B307" s="54"/>
      <c r="C307" s="54"/>
      <c r="D307" s="54"/>
      <c r="E307" s="54"/>
      <c r="F307" s="54"/>
      <c r="G307" s="54"/>
      <c r="H307" s="6"/>
      <c r="I307" s="56">
        <f>SUM(I310:I326)</f>
        <v>10342</v>
      </c>
    </row>
    <row r="308" spans="1:9" s="2" customFormat="1" ht="12">
      <c r="A308" s="55"/>
      <c r="B308" s="55"/>
      <c r="C308" s="55"/>
      <c r="D308" s="55"/>
      <c r="E308" s="55"/>
      <c r="F308" s="55"/>
      <c r="G308" s="55"/>
      <c r="H308" s="7"/>
      <c r="I308" s="57"/>
    </row>
    <row r="309" spans="1:9" s="2" customFormat="1" ht="12">
      <c r="H309" s="5"/>
    </row>
    <row r="310" spans="1:9" s="2" customFormat="1" ht="12">
      <c r="A310" s="2" t="s">
        <v>31</v>
      </c>
      <c r="B310" s="10">
        <v>93</v>
      </c>
      <c r="C310" s="2" t="s">
        <v>78</v>
      </c>
      <c r="G310" s="18">
        <v>58</v>
      </c>
      <c r="H310" s="18"/>
      <c r="I310" s="18">
        <f t="shared" ref="I310:I313" si="21">G310*B310</f>
        <v>5394</v>
      </c>
    </row>
    <row r="311" spans="1:9" s="2" customFormat="1" ht="12">
      <c r="A311" s="2" t="s">
        <v>32</v>
      </c>
      <c r="B311" s="10">
        <v>8</v>
      </c>
      <c r="C311" s="2" t="s">
        <v>55</v>
      </c>
      <c r="G311" s="18">
        <v>115</v>
      </c>
      <c r="H311" s="18"/>
      <c r="I311" s="18">
        <f t="shared" si="21"/>
        <v>920</v>
      </c>
    </row>
    <row r="312" spans="1:9" s="2" customFormat="1" ht="12">
      <c r="A312" s="2" t="s">
        <v>33</v>
      </c>
      <c r="B312" s="10">
        <v>4</v>
      </c>
      <c r="C312" s="2" t="s">
        <v>129</v>
      </c>
      <c r="G312" s="18">
        <v>58</v>
      </c>
      <c r="H312" s="18"/>
      <c r="I312" s="18">
        <f t="shared" si="21"/>
        <v>232</v>
      </c>
    </row>
    <row r="313" spans="1:9" s="2" customFormat="1" ht="12">
      <c r="A313" s="2" t="s">
        <v>34</v>
      </c>
      <c r="B313" s="10">
        <v>4</v>
      </c>
      <c r="C313" s="2" t="s">
        <v>116</v>
      </c>
      <c r="G313" s="18">
        <v>165</v>
      </c>
      <c r="H313" s="18"/>
      <c r="I313" s="18">
        <f t="shared" si="21"/>
        <v>660</v>
      </c>
    </row>
    <row r="314" spans="1:9" s="2" customFormat="1" ht="12">
      <c r="A314" s="2" t="s">
        <v>46</v>
      </c>
      <c r="B314" s="10">
        <v>1</v>
      </c>
      <c r="C314" s="2" t="s">
        <v>148</v>
      </c>
      <c r="G314" s="18">
        <v>78</v>
      </c>
      <c r="H314" s="18"/>
      <c r="I314" s="18">
        <f>G314*B314</f>
        <v>78</v>
      </c>
    </row>
    <row r="315" spans="1:9" s="2" customFormat="1" ht="12">
      <c r="A315" s="2" t="s">
        <v>47</v>
      </c>
      <c r="B315" s="10">
        <v>1</v>
      </c>
      <c r="C315" s="2" t="s">
        <v>149</v>
      </c>
      <c r="G315" s="18">
        <v>78</v>
      </c>
      <c r="H315" s="18"/>
      <c r="I315" s="18">
        <f>G315*B315</f>
        <v>78</v>
      </c>
    </row>
    <row r="316" spans="1:9" s="2" customFormat="1" ht="12">
      <c r="A316" s="2" t="s">
        <v>48</v>
      </c>
      <c r="B316" s="10">
        <v>3</v>
      </c>
      <c r="C316" s="24" t="s">
        <v>139</v>
      </c>
      <c r="G316" s="18">
        <v>265</v>
      </c>
      <c r="H316" s="18"/>
      <c r="I316" s="18">
        <f t="shared" ref="I316:I321" si="22">G316*B316</f>
        <v>795</v>
      </c>
    </row>
    <row r="317" spans="1:9" s="2" customFormat="1" ht="12">
      <c r="A317" s="2" t="s">
        <v>49</v>
      </c>
      <c r="B317" s="10">
        <v>2</v>
      </c>
      <c r="C317" s="24" t="s">
        <v>162</v>
      </c>
      <c r="G317" s="18">
        <v>58</v>
      </c>
      <c r="H317" s="18"/>
      <c r="I317" s="18">
        <f t="shared" si="22"/>
        <v>116</v>
      </c>
    </row>
    <row r="318" spans="1:9" s="2" customFormat="1" ht="12">
      <c r="A318" s="2" t="s">
        <v>50</v>
      </c>
      <c r="B318" s="10">
        <v>21</v>
      </c>
      <c r="C318" s="2" t="s">
        <v>146</v>
      </c>
      <c r="G318" s="18">
        <v>48</v>
      </c>
      <c r="H318" s="18"/>
      <c r="I318" s="18">
        <f t="shared" si="22"/>
        <v>1008</v>
      </c>
    </row>
    <row r="319" spans="1:9" s="2" customFormat="1" ht="12">
      <c r="A319" s="2" t="s">
        <v>51</v>
      </c>
      <c r="B319" s="10">
        <v>1</v>
      </c>
      <c r="C319" s="2" t="s">
        <v>147</v>
      </c>
      <c r="G319" s="18">
        <v>48</v>
      </c>
      <c r="H319" s="18"/>
      <c r="I319" s="18">
        <f t="shared" si="22"/>
        <v>48</v>
      </c>
    </row>
    <row r="320" spans="1:9" s="2" customFormat="1" ht="12">
      <c r="A320" s="2" t="s">
        <v>52</v>
      </c>
      <c r="B320" s="10">
        <v>4</v>
      </c>
      <c r="C320" s="2" t="s">
        <v>163</v>
      </c>
      <c r="G320" s="18">
        <v>48</v>
      </c>
      <c r="H320" s="18"/>
      <c r="I320" s="18">
        <f t="shared" si="22"/>
        <v>192</v>
      </c>
    </row>
    <row r="321" spans="1:9" s="2" customFormat="1" ht="12">
      <c r="A321" s="2" t="s">
        <v>86</v>
      </c>
      <c r="B321" s="10">
        <v>3</v>
      </c>
      <c r="C321" s="2" t="s">
        <v>164</v>
      </c>
      <c r="G321" s="18">
        <v>58</v>
      </c>
      <c r="H321" s="18"/>
      <c r="I321" s="18">
        <f t="shared" si="22"/>
        <v>174</v>
      </c>
    </row>
    <row r="322" spans="1:9" s="2" customFormat="1" ht="12">
      <c r="A322" s="2" t="s">
        <v>87</v>
      </c>
      <c r="B322" s="10">
        <v>1</v>
      </c>
      <c r="C322" s="2" t="s">
        <v>77</v>
      </c>
      <c r="G322" s="18">
        <v>78</v>
      </c>
      <c r="H322" s="18"/>
      <c r="I322" s="18">
        <f>G322*B322</f>
        <v>78</v>
      </c>
    </row>
    <row r="323" spans="1:9" s="2" customFormat="1" ht="12">
      <c r="A323" s="2" t="s">
        <v>79</v>
      </c>
      <c r="B323" s="10">
        <v>1</v>
      </c>
      <c r="C323" s="2" t="s">
        <v>159</v>
      </c>
      <c r="G323" s="18">
        <v>145</v>
      </c>
      <c r="H323" s="18"/>
      <c r="I323" s="18">
        <f>G323*B323</f>
        <v>145</v>
      </c>
    </row>
    <row r="324" spans="1:9" s="2" customFormat="1" ht="12">
      <c r="A324" s="2" t="s">
        <v>80</v>
      </c>
      <c r="B324" s="10">
        <v>1</v>
      </c>
      <c r="C324" s="2" t="s">
        <v>132</v>
      </c>
      <c r="G324" s="18">
        <v>38</v>
      </c>
      <c r="H324" s="18"/>
      <c r="I324" s="18">
        <f>G324*B324</f>
        <v>38</v>
      </c>
    </row>
    <row r="325" spans="1:9" s="2" customFormat="1" ht="12">
      <c r="A325" s="2" t="s">
        <v>81</v>
      </c>
      <c r="B325" s="10">
        <v>1</v>
      </c>
      <c r="C325" s="2" t="s">
        <v>133</v>
      </c>
      <c r="G325" s="18">
        <v>38</v>
      </c>
      <c r="H325" s="18"/>
      <c r="I325" s="18">
        <f>G325*B325</f>
        <v>38</v>
      </c>
    </row>
    <row r="326" spans="1:9" s="2" customFormat="1" ht="12">
      <c r="A326" s="2" t="s">
        <v>82</v>
      </c>
      <c r="B326" s="10">
        <v>6</v>
      </c>
      <c r="C326" s="2" t="s">
        <v>93</v>
      </c>
      <c r="G326" s="18">
        <v>58</v>
      </c>
      <c r="H326" s="18"/>
      <c r="I326" s="18">
        <f t="shared" ref="I326" si="23">G326*B326</f>
        <v>348</v>
      </c>
    </row>
    <row r="327" spans="1:9" s="2" customFormat="1" ht="12">
      <c r="B327" s="10"/>
      <c r="G327" s="18"/>
      <c r="H327" s="18"/>
      <c r="I327" s="18"/>
    </row>
    <row r="328" spans="1:9" s="2" customFormat="1" ht="12">
      <c r="A328" s="58" t="s">
        <v>181</v>
      </c>
      <c r="B328" s="58"/>
      <c r="C328" s="58"/>
      <c r="D328" s="58"/>
      <c r="E328" s="58"/>
      <c r="F328" s="58"/>
      <c r="G328" s="58"/>
      <c r="H328" s="58"/>
      <c r="I328" s="56">
        <f>SUM(I331:I354)</f>
        <v>5914</v>
      </c>
    </row>
    <row r="329" spans="1:9" s="2" customFormat="1" ht="12">
      <c r="A329" s="59"/>
      <c r="B329" s="59"/>
      <c r="C329" s="59"/>
      <c r="D329" s="59"/>
      <c r="E329" s="59"/>
      <c r="F329" s="59"/>
      <c r="G329" s="59"/>
      <c r="H329" s="59"/>
      <c r="I329" s="57"/>
    </row>
    <row r="330" spans="1:9" s="2" customFormat="1" ht="12">
      <c r="A330" s="52"/>
      <c r="B330" s="52"/>
      <c r="C330" s="52"/>
      <c r="D330" s="52"/>
      <c r="E330" s="52"/>
      <c r="F330" s="52"/>
      <c r="G330" s="52"/>
      <c r="H330" s="52"/>
      <c r="I330" s="50"/>
    </row>
    <row r="331" spans="1:9" s="2" customFormat="1" ht="12">
      <c r="A331" s="2" t="s">
        <v>31</v>
      </c>
      <c r="B331" s="16">
        <v>2</v>
      </c>
      <c r="C331" s="2" t="s">
        <v>173</v>
      </c>
      <c r="G331" s="18">
        <v>795</v>
      </c>
      <c r="H331" s="5"/>
      <c r="I331" s="17">
        <f>G331*B331</f>
        <v>1590</v>
      </c>
    </row>
    <row r="332" spans="1:9" s="2" customFormat="1" ht="12">
      <c r="A332" s="2" t="s">
        <v>32</v>
      </c>
      <c r="B332" s="16">
        <v>2</v>
      </c>
      <c r="C332" s="2" t="s">
        <v>172</v>
      </c>
      <c r="G332" s="18">
        <v>410</v>
      </c>
      <c r="H332" s="5"/>
      <c r="I332" s="17">
        <f t="shared" ref="I332" si="24">G332*B332</f>
        <v>820</v>
      </c>
    </row>
    <row r="333" spans="1:9" s="2" customFormat="1" ht="12">
      <c r="A333" s="2" t="s">
        <v>33</v>
      </c>
      <c r="B333" s="16">
        <v>2</v>
      </c>
      <c r="C333" s="2" t="s">
        <v>165</v>
      </c>
      <c r="G333" s="18">
        <v>410</v>
      </c>
      <c r="H333" s="5"/>
      <c r="I333" s="17">
        <f>G333*B333</f>
        <v>820</v>
      </c>
    </row>
    <row r="334" spans="1:9" s="2" customFormat="1" ht="12">
      <c r="A334" s="2" t="s">
        <v>34</v>
      </c>
      <c r="B334" s="16">
        <v>2</v>
      </c>
      <c r="C334" s="19" t="s">
        <v>166</v>
      </c>
      <c r="G334" s="18">
        <v>155</v>
      </c>
      <c r="H334" s="5"/>
      <c r="I334" s="17">
        <f>G334*B334</f>
        <v>310</v>
      </c>
    </row>
    <row r="335" spans="1:9" s="2" customFormat="1" ht="12">
      <c r="A335" s="2" t="s">
        <v>46</v>
      </c>
      <c r="B335" s="16">
        <v>2</v>
      </c>
      <c r="C335" s="2" t="s">
        <v>195</v>
      </c>
      <c r="G335" s="18">
        <v>155</v>
      </c>
      <c r="H335" s="5"/>
      <c r="I335" s="17">
        <f>G335*B335</f>
        <v>310</v>
      </c>
    </row>
    <row r="336" spans="1:9" s="2" customFormat="1" ht="12">
      <c r="A336" s="2" t="s">
        <v>47</v>
      </c>
      <c r="B336" s="16">
        <v>2</v>
      </c>
      <c r="C336" s="2" t="s">
        <v>169</v>
      </c>
      <c r="G336" s="18">
        <v>89</v>
      </c>
      <c r="H336" s="5"/>
      <c r="I336" s="17">
        <f>G336*B336</f>
        <v>178</v>
      </c>
    </row>
    <row r="338" spans="1:9" s="2" customFormat="1" ht="12">
      <c r="B338" s="16"/>
      <c r="G338" s="18"/>
      <c r="H338" s="5"/>
      <c r="I338" s="17"/>
    </row>
    <row r="339" spans="1:9" s="2" customFormat="1" ht="12">
      <c r="B339" s="16"/>
      <c r="G339" s="18"/>
      <c r="H339" s="5"/>
      <c r="I339" s="17"/>
    </row>
    <row r="340" spans="1:9" s="2" customFormat="1" ht="12">
      <c r="B340" s="16"/>
      <c r="G340" s="18"/>
      <c r="H340" s="5"/>
      <c r="I340" s="17"/>
    </row>
    <row r="341" spans="1:9" s="2" customFormat="1" ht="12">
      <c r="B341" s="16"/>
      <c r="G341" s="18"/>
      <c r="H341" s="5"/>
      <c r="I341" s="17"/>
    </row>
    <row r="342" spans="1:9" s="2" customFormat="1" ht="12">
      <c r="B342" s="16"/>
      <c r="G342" s="18"/>
      <c r="H342" s="5"/>
      <c r="I342" s="17"/>
    </row>
    <row r="343" spans="1:9" s="2" customFormat="1" ht="12">
      <c r="B343" s="16"/>
      <c r="G343" s="18"/>
      <c r="H343" s="5"/>
      <c r="I343" s="17"/>
    </row>
    <row r="344" spans="1:9" s="2" customFormat="1" ht="12">
      <c r="B344" s="16"/>
      <c r="G344" s="18"/>
      <c r="H344" s="5"/>
      <c r="I344" s="17"/>
    </row>
    <row r="345" spans="1:9" s="2" customFormat="1" ht="12">
      <c r="A345" s="2" t="s">
        <v>37</v>
      </c>
      <c r="B345" s="43"/>
      <c r="C345" s="43"/>
      <c r="E345" s="2" t="s">
        <v>38</v>
      </c>
      <c r="F345" s="10" t="str">
        <f>D11</f>
        <v>2108AC01S</v>
      </c>
      <c r="G345" s="81" t="str">
        <f>D16</f>
        <v>TAPESTRY</v>
      </c>
      <c r="H345" s="81"/>
      <c r="I345" s="33" t="s">
        <v>174</v>
      </c>
    </row>
    <row r="346" spans="1:9" s="2" customFormat="1" ht="12">
      <c r="B346" s="16"/>
      <c r="G346" s="18"/>
      <c r="H346" s="5"/>
      <c r="I346" s="17"/>
    </row>
    <row r="347" spans="1:9" s="2" customFormat="1" ht="12">
      <c r="A347" s="58" t="s">
        <v>197</v>
      </c>
      <c r="B347" s="58"/>
      <c r="C347" s="58"/>
      <c r="D347" s="58"/>
      <c r="E347" s="58"/>
      <c r="F347" s="58"/>
      <c r="G347" s="58"/>
      <c r="H347" s="58"/>
      <c r="I347" s="56"/>
    </row>
    <row r="348" spans="1:9" s="2" customFormat="1" ht="12">
      <c r="A348" s="59"/>
      <c r="B348" s="59"/>
      <c r="C348" s="59"/>
      <c r="D348" s="59"/>
      <c r="E348" s="59"/>
      <c r="F348" s="59"/>
      <c r="G348" s="59"/>
      <c r="H348" s="59"/>
      <c r="I348" s="57"/>
    </row>
    <row r="349" spans="1:9" s="2" customFormat="1" ht="12">
      <c r="A349" s="52"/>
      <c r="B349" s="52"/>
      <c r="C349" s="52"/>
      <c r="D349" s="52"/>
      <c r="E349" s="52"/>
      <c r="F349" s="52"/>
      <c r="G349" s="52"/>
      <c r="H349" s="52"/>
      <c r="I349" s="50"/>
    </row>
    <row r="350" spans="1:9" s="2" customFormat="1" ht="12">
      <c r="A350" s="2" t="s">
        <v>48</v>
      </c>
      <c r="B350" s="16">
        <v>2</v>
      </c>
      <c r="C350" s="2" t="s">
        <v>196</v>
      </c>
      <c r="G350" s="18">
        <v>58</v>
      </c>
      <c r="H350" s="5"/>
      <c r="I350" s="17">
        <f>G350*B350</f>
        <v>116</v>
      </c>
    </row>
    <row r="351" spans="1:9" s="2" customFormat="1" ht="12">
      <c r="A351" s="2" t="s">
        <v>49</v>
      </c>
      <c r="B351" s="16">
        <v>3</v>
      </c>
      <c r="C351" s="2" t="s">
        <v>170</v>
      </c>
      <c r="G351" s="18">
        <v>355</v>
      </c>
      <c r="H351" s="5"/>
      <c r="I351" s="17">
        <f t="shared" ref="I351:I353" si="25">G351*B351</f>
        <v>1065</v>
      </c>
    </row>
    <row r="352" spans="1:9" s="2" customFormat="1" ht="12">
      <c r="B352" s="16"/>
      <c r="D352" s="2" t="s">
        <v>171</v>
      </c>
      <c r="G352" s="18"/>
      <c r="H352" s="5"/>
      <c r="I352" s="17"/>
    </row>
    <row r="353" spans="1:9" s="2" customFormat="1" ht="12">
      <c r="A353" s="2" t="s">
        <v>50</v>
      </c>
      <c r="B353" s="16">
        <v>1</v>
      </c>
      <c r="C353" s="2" t="s">
        <v>167</v>
      </c>
      <c r="G353" s="18">
        <v>595</v>
      </c>
      <c r="H353" s="5"/>
      <c r="I353" s="17">
        <f t="shared" si="25"/>
        <v>595</v>
      </c>
    </row>
    <row r="354" spans="1:9" s="2" customFormat="1" ht="12">
      <c r="A354" s="2" t="s">
        <v>51</v>
      </c>
      <c r="B354" s="16">
        <v>1</v>
      </c>
      <c r="C354" s="2" t="s">
        <v>168</v>
      </c>
      <c r="G354" s="18">
        <v>110</v>
      </c>
      <c r="H354" s="5"/>
      <c r="I354" s="17">
        <f>G354*B354</f>
        <v>110</v>
      </c>
    </row>
    <row r="355" spans="1:9" s="2" customFormat="1" ht="12">
      <c r="B355" s="10"/>
      <c r="G355" s="18"/>
      <c r="H355" s="5"/>
    </row>
    <row r="356" spans="1:9" s="2" customFormat="1" ht="12">
      <c r="B356" s="25" t="s">
        <v>5</v>
      </c>
      <c r="C356" s="25"/>
      <c r="D356" s="25"/>
      <c r="E356" s="25"/>
      <c r="F356" s="25"/>
      <c r="G356" s="25"/>
      <c r="H356" s="26">
        <f>I328+I307+I275+I256+I212+I201+I191+I164+I149+I134+I99+I88+I82+I65+I44+I31+I18</f>
        <v>118843</v>
      </c>
      <c r="I356" s="10"/>
    </row>
    <row r="357" spans="1:9" s="2" customFormat="1" ht="12">
      <c r="B357" s="27" t="s">
        <v>18</v>
      </c>
      <c r="C357" s="27"/>
      <c r="D357" s="27"/>
      <c r="E357" s="27"/>
      <c r="F357" s="27"/>
      <c r="G357" s="27"/>
      <c r="H357" s="28">
        <f>H356*0.0825</f>
        <v>9804.5475000000006</v>
      </c>
      <c r="I357" s="10"/>
    </row>
    <row r="358" spans="1:9" s="2" customFormat="1" ht="12">
      <c r="B358" s="3"/>
      <c r="C358" s="3"/>
      <c r="D358" s="3"/>
      <c r="E358" s="3"/>
      <c r="F358" s="3"/>
      <c r="G358" s="3"/>
      <c r="H358" s="29"/>
      <c r="I358" s="10"/>
    </row>
    <row r="359" spans="1:9" s="2" customFormat="1" ht="12">
      <c r="B359" s="54" t="s">
        <v>41</v>
      </c>
      <c r="C359" s="54"/>
      <c r="D359" s="54"/>
      <c r="E359" s="54"/>
      <c r="F359" s="54"/>
      <c r="G359" s="13"/>
      <c r="H359" s="62">
        <v>1500</v>
      </c>
      <c r="I359" s="18"/>
    </row>
    <row r="360" spans="1:9" s="2" customFormat="1" ht="12">
      <c r="B360" s="55"/>
      <c r="C360" s="55"/>
      <c r="D360" s="55"/>
      <c r="E360" s="55"/>
      <c r="F360" s="55"/>
      <c r="G360" s="15"/>
      <c r="H360" s="63"/>
      <c r="I360" s="18"/>
    </row>
    <row r="361" spans="1:9" s="2" customFormat="1" ht="12">
      <c r="B361" s="30"/>
      <c r="C361" s="12"/>
      <c r="D361" s="12"/>
      <c r="E361" s="12"/>
      <c r="F361" s="12"/>
      <c r="G361" s="12"/>
      <c r="H361" s="6"/>
      <c r="I361" s="10"/>
    </row>
    <row r="362" spans="1:9" s="2" customFormat="1" ht="12">
      <c r="B362" s="67" t="s">
        <v>42</v>
      </c>
      <c r="C362" s="67"/>
      <c r="D362" s="67"/>
      <c r="E362" s="67"/>
      <c r="F362" s="67"/>
      <c r="G362" s="12"/>
      <c r="H362" s="62">
        <v>18600</v>
      </c>
    </row>
    <row r="363" spans="1:9" s="2" customFormat="1" ht="12">
      <c r="B363" s="68"/>
      <c r="C363" s="68"/>
      <c r="D363" s="68"/>
      <c r="E363" s="68"/>
      <c r="F363" s="68"/>
      <c r="G363" s="14"/>
      <c r="H363" s="57"/>
    </row>
    <row r="364" spans="1:9" s="2" customFormat="1" ht="12">
      <c r="B364" s="10"/>
      <c r="H364" s="5"/>
    </row>
    <row r="365" spans="1:9" s="2" customFormat="1" ht="12">
      <c r="B365" s="61" t="s">
        <v>0</v>
      </c>
      <c r="C365" s="66"/>
      <c r="D365" s="66"/>
      <c r="E365" s="66"/>
      <c r="F365" s="66"/>
      <c r="G365" s="66"/>
      <c r="H365" s="66"/>
    </row>
    <row r="366" spans="1:9" s="2" customFormat="1" ht="12">
      <c r="B366" s="66"/>
      <c r="C366" s="66"/>
      <c r="D366" s="66"/>
      <c r="E366" s="66"/>
      <c r="F366" s="66"/>
      <c r="G366" s="66"/>
      <c r="H366" s="66"/>
    </row>
    <row r="367" spans="1:9" s="2" customFormat="1" ht="12">
      <c r="B367" s="66"/>
      <c r="C367" s="66"/>
      <c r="D367" s="66"/>
      <c r="E367" s="66"/>
      <c r="F367" s="66"/>
      <c r="G367" s="66"/>
      <c r="H367" s="66"/>
    </row>
    <row r="368" spans="1:9" s="2" customFormat="1" ht="12">
      <c r="B368" s="66"/>
      <c r="C368" s="66"/>
      <c r="D368" s="66"/>
      <c r="E368" s="66"/>
      <c r="F368" s="66"/>
      <c r="G368" s="66"/>
      <c r="H368" s="66"/>
    </row>
    <row r="369" spans="2:8" s="2" customFormat="1" ht="12">
      <c r="B369" s="66"/>
      <c r="C369" s="66"/>
      <c r="D369" s="66"/>
      <c r="E369" s="66"/>
      <c r="F369" s="66"/>
      <c r="G369" s="66"/>
      <c r="H369" s="66"/>
    </row>
    <row r="370" spans="2:8" s="2" customFormat="1" ht="12">
      <c r="B370" s="66"/>
      <c r="C370" s="66"/>
      <c r="D370" s="66"/>
      <c r="E370" s="66"/>
      <c r="F370" s="66"/>
      <c r="G370" s="66"/>
      <c r="H370" s="66"/>
    </row>
    <row r="371" spans="2:8" s="2" customFormat="1" thickBot="1">
      <c r="B371" s="66"/>
      <c r="C371" s="66"/>
      <c r="D371" s="66"/>
      <c r="E371" s="66"/>
      <c r="F371" s="66"/>
      <c r="G371" s="66"/>
      <c r="H371" s="66"/>
    </row>
    <row r="372" spans="2:8" s="2" customFormat="1" thickTop="1">
      <c r="B372" s="70" t="s">
        <v>198</v>
      </c>
      <c r="C372" s="70"/>
      <c r="D372" s="71"/>
      <c r="E372" s="71"/>
      <c r="F372" s="31"/>
      <c r="G372" s="31"/>
      <c r="H372" s="64">
        <f>H362+H359+H357+H356</f>
        <v>148747.54749999999</v>
      </c>
    </row>
    <row r="373" spans="2:8" s="2" customFormat="1" thickBot="1">
      <c r="B373" s="72"/>
      <c r="C373" s="72"/>
      <c r="D373" s="73"/>
      <c r="E373" s="73"/>
      <c r="F373" s="32"/>
      <c r="G373" s="32"/>
      <c r="H373" s="65"/>
    </row>
    <row r="374" spans="2:8" s="2" customFormat="1" thickTop="1">
      <c r="B374" s="43"/>
      <c r="C374" s="43"/>
      <c r="H374" s="44"/>
    </row>
    <row r="375" spans="2:8" s="2" customFormat="1" ht="12">
      <c r="B375" s="43"/>
      <c r="C375" s="43"/>
      <c r="H375" s="44"/>
    </row>
    <row r="376" spans="2:8" s="2" customFormat="1" ht="12">
      <c r="B376" s="43"/>
      <c r="C376" s="43"/>
      <c r="H376" s="44"/>
    </row>
    <row r="377" spans="2:8" s="2" customFormat="1" ht="12">
      <c r="B377" s="43"/>
      <c r="C377" s="43"/>
      <c r="H377" s="44"/>
    </row>
    <row r="378" spans="2:8" s="2" customFormat="1" ht="12">
      <c r="B378" s="43"/>
      <c r="C378" s="43"/>
      <c r="H378" s="44"/>
    </row>
    <row r="379" spans="2:8" s="2" customFormat="1" ht="12">
      <c r="B379" s="43"/>
      <c r="C379" s="43"/>
      <c r="H379" s="44"/>
    </row>
    <row r="380" spans="2:8" s="2" customFormat="1" ht="12">
      <c r="B380" s="43"/>
      <c r="C380" s="43"/>
      <c r="H380" s="44"/>
    </row>
    <row r="381" spans="2:8" s="2" customFormat="1" ht="12">
      <c r="B381" s="43"/>
      <c r="C381" s="43"/>
      <c r="H381" s="44"/>
    </row>
    <row r="382" spans="2:8" s="2" customFormat="1" ht="12">
      <c r="B382" s="43"/>
      <c r="C382" s="43"/>
      <c r="H382" s="44"/>
    </row>
    <row r="383" spans="2:8" s="2" customFormat="1" ht="12">
      <c r="B383" s="43"/>
      <c r="C383" s="43"/>
      <c r="H383" s="44"/>
    </row>
    <row r="384" spans="2:8" s="2" customFormat="1" ht="12">
      <c r="B384" s="43"/>
      <c r="C384" s="43"/>
      <c r="H384" s="44"/>
    </row>
    <row r="385" spans="2:8" s="2" customFormat="1" ht="12">
      <c r="B385" s="43"/>
      <c r="C385" s="43"/>
      <c r="H385" s="44"/>
    </row>
    <row r="386" spans="2:8" s="2" customFormat="1" ht="12">
      <c r="B386" s="43"/>
      <c r="C386" s="43"/>
      <c r="H386" s="44"/>
    </row>
    <row r="387" spans="2:8" s="2" customFormat="1" ht="12">
      <c r="B387" s="43"/>
      <c r="C387" s="43"/>
      <c r="H387" s="44"/>
    </row>
    <row r="388" spans="2:8" s="2" customFormat="1" ht="12">
      <c r="B388" s="43"/>
      <c r="C388" s="43"/>
      <c r="H388" s="44"/>
    </row>
    <row r="389" spans="2:8" s="2" customFormat="1" ht="12">
      <c r="B389" s="43"/>
      <c r="C389" s="43"/>
      <c r="H389" s="44"/>
    </row>
    <row r="390" spans="2:8" s="2" customFormat="1" ht="12">
      <c r="B390" s="43"/>
      <c r="C390" s="43"/>
      <c r="H390" s="44"/>
    </row>
    <row r="391" spans="2:8" s="2" customFormat="1" ht="12">
      <c r="B391" s="43"/>
      <c r="C391" s="43"/>
      <c r="H391" s="44"/>
    </row>
    <row r="392" spans="2:8" s="2" customFormat="1" ht="12">
      <c r="B392" s="43"/>
      <c r="C392" s="43"/>
      <c r="H392" s="44"/>
    </row>
    <row r="393" spans="2:8" s="2" customFormat="1" ht="12">
      <c r="B393" s="43"/>
      <c r="C393" s="43"/>
      <c r="H393" s="44"/>
    </row>
    <row r="394" spans="2:8" s="2" customFormat="1" ht="12">
      <c r="B394" s="43"/>
      <c r="C394" s="43"/>
      <c r="H394" s="44"/>
    </row>
    <row r="395" spans="2:8" s="2" customFormat="1" ht="12">
      <c r="B395" s="43"/>
      <c r="C395" s="43"/>
      <c r="H395" s="44"/>
    </row>
    <row r="396" spans="2:8" s="2" customFormat="1" ht="12">
      <c r="B396" s="43"/>
      <c r="C396" s="43"/>
      <c r="H396" s="44"/>
    </row>
    <row r="397" spans="2:8" s="2" customFormat="1" ht="12">
      <c r="B397" s="43"/>
      <c r="C397" s="43"/>
      <c r="H397" s="44"/>
    </row>
    <row r="398" spans="2:8" s="2" customFormat="1" ht="12">
      <c r="B398" s="43"/>
      <c r="C398" s="43"/>
      <c r="H398" s="44"/>
    </row>
    <row r="399" spans="2:8" s="2" customFormat="1" ht="12">
      <c r="B399" s="43"/>
      <c r="C399" s="43"/>
      <c r="H399" s="44"/>
    </row>
    <row r="400" spans="2:8" s="2" customFormat="1" ht="12">
      <c r="B400" s="43"/>
      <c r="C400" s="43"/>
      <c r="H400" s="44"/>
    </row>
    <row r="401" spans="1:9" s="2" customFormat="1" ht="12">
      <c r="B401" s="43"/>
      <c r="C401" s="43"/>
      <c r="H401" s="44"/>
    </row>
    <row r="402" spans="1:9" s="2" customFormat="1" ht="12">
      <c r="A402" s="2" t="s">
        <v>37</v>
      </c>
      <c r="B402" s="43"/>
      <c r="C402" s="43"/>
      <c r="E402" s="2" t="s">
        <v>38</v>
      </c>
      <c r="F402" s="10" t="str">
        <f>D11</f>
        <v>2108AC01S</v>
      </c>
      <c r="G402" s="81" t="str">
        <f>D16</f>
        <v>TAPESTRY</v>
      </c>
      <c r="H402" s="81"/>
      <c r="I402" s="33" t="s">
        <v>175</v>
      </c>
    </row>
    <row r="403" spans="1:9" s="2" customFormat="1" ht="12">
      <c r="B403" s="10"/>
      <c r="H403" s="5"/>
    </row>
    <row r="404" spans="1:9" s="2" customFormat="1" ht="12">
      <c r="B404" s="33" t="s">
        <v>2</v>
      </c>
      <c r="C404" s="3" t="s">
        <v>36</v>
      </c>
    </row>
    <row r="405" spans="1:9" s="2" customFormat="1" ht="12">
      <c r="B405" s="33"/>
      <c r="C405" s="3"/>
    </row>
    <row r="406" spans="1:9" s="2" customFormat="1" ht="12">
      <c r="B406" s="33" t="s">
        <v>27</v>
      </c>
      <c r="C406" s="69" t="s">
        <v>44</v>
      </c>
      <c r="D406" s="69"/>
      <c r="E406" s="69"/>
      <c r="F406" s="69"/>
      <c r="G406" s="69"/>
      <c r="H406" s="69"/>
    </row>
    <row r="407" spans="1:9" s="2" customFormat="1" ht="12">
      <c r="B407" s="33"/>
      <c r="C407" s="69"/>
      <c r="D407" s="69"/>
      <c r="E407" s="69"/>
      <c r="F407" s="69"/>
      <c r="G407" s="69"/>
      <c r="H407" s="69"/>
    </row>
    <row r="408" spans="1:9" s="2" customFormat="1" ht="12">
      <c r="B408" s="33"/>
      <c r="H408" s="5"/>
    </row>
    <row r="409" spans="1:9" s="2" customFormat="1" ht="12">
      <c r="B409" s="33" t="s">
        <v>12</v>
      </c>
      <c r="C409" s="60" t="s">
        <v>11</v>
      </c>
      <c r="D409" s="60"/>
      <c r="E409" s="60"/>
      <c r="F409" s="60"/>
      <c r="G409" s="60"/>
      <c r="H409" s="60"/>
    </row>
    <row r="410" spans="1:9" s="2" customFormat="1" ht="12">
      <c r="B410" s="33"/>
      <c r="C410" s="60"/>
      <c r="D410" s="60"/>
      <c r="E410" s="60"/>
      <c r="F410" s="60"/>
      <c r="G410" s="60"/>
      <c r="H410" s="60"/>
    </row>
    <row r="411" spans="1:9" s="2" customFormat="1" ht="12">
      <c r="B411" s="33"/>
      <c r="C411" s="34"/>
      <c r="D411" s="34"/>
      <c r="E411" s="34"/>
      <c r="F411" s="34"/>
      <c r="G411" s="34"/>
      <c r="H411" s="35"/>
    </row>
    <row r="412" spans="1:9" s="2" customFormat="1" ht="12">
      <c r="B412" s="33" t="s">
        <v>13</v>
      </c>
      <c r="C412" s="60" t="s">
        <v>15</v>
      </c>
      <c r="D412" s="60"/>
      <c r="E412" s="60"/>
      <c r="F412" s="60"/>
      <c r="G412" s="60"/>
      <c r="H412" s="60"/>
    </row>
    <row r="413" spans="1:9" s="2" customFormat="1" ht="12">
      <c r="B413" s="33"/>
      <c r="C413" s="60"/>
      <c r="D413" s="60"/>
      <c r="E413" s="60"/>
      <c r="F413" s="60"/>
      <c r="G413" s="60"/>
      <c r="H413" s="60"/>
    </row>
    <row r="414" spans="1:9" s="2" customFormat="1" ht="24" customHeight="1">
      <c r="B414" s="33"/>
      <c r="C414" s="3"/>
      <c r="D414" s="3"/>
      <c r="E414" s="3"/>
      <c r="F414" s="3"/>
      <c r="G414" s="3"/>
      <c r="H414" s="36"/>
    </row>
    <row r="415" spans="1:9" s="2" customFormat="1" ht="12">
      <c r="B415" s="33" t="s">
        <v>14</v>
      </c>
      <c r="C415" s="69" t="s">
        <v>17</v>
      </c>
      <c r="D415" s="69"/>
      <c r="E415" s="69"/>
      <c r="F415" s="69"/>
      <c r="G415" s="69"/>
      <c r="H415" s="69"/>
    </row>
    <row r="416" spans="1:9" s="2" customFormat="1" ht="12">
      <c r="B416" s="33"/>
      <c r="C416" s="69"/>
      <c r="D416" s="69"/>
      <c r="E416" s="69"/>
      <c r="F416" s="69"/>
      <c r="G416" s="69"/>
      <c r="H416" s="69"/>
    </row>
    <row r="417" spans="2:8" s="2" customFormat="1" ht="12">
      <c r="B417" s="33"/>
      <c r="H417" s="5"/>
    </row>
    <row r="418" spans="2:8" s="2" customFormat="1" ht="12">
      <c r="B418" s="33" t="s">
        <v>35</v>
      </c>
      <c r="C418" s="69" t="s">
        <v>6</v>
      </c>
      <c r="D418" s="69"/>
      <c r="E418" s="69"/>
      <c r="F418" s="69"/>
      <c r="G418" s="69"/>
      <c r="H418" s="69"/>
    </row>
    <row r="419" spans="2:8" s="2" customFormat="1" ht="12">
      <c r="B419" s="10"/>
      <c r="C419" s="69"/>
      <c r="D419" s="69"/>
      <c r="E419" s="69"/>
      <c r="F419" s="69"/>
      <c r="G419" s="69"/>
      <c r="H419" s="69"/>
    </row>
    <row r="420" spans="2:8" s="2" customFormat="1" ht="12">
      <c r="B420" s="10"/>
      <c r="H420" s="5"/>
    </row>
    <row r="421" spans="2:8" s="2" customFormat="1" ht="12">
      <c r="B421" s="10" t="s">
        <v>28</v>
      </c>
      <c r="C421" s="61" t="s">
        <v>1</v>
      </c>
      <c r="D421" s="61"/>
      <c r="E421" s="61"/>
      <c r="F421" s="61"/>
      <c r="G421" s="61"/>
      <c r="H421" s="61"/>
    </row>
    <row r="422" spans="2:8" s="2" customFormat="1" ht="12">
      <c r="B422" s="10"/>
      <c r="C422" s="61"/>
      <c r="D422" s="61"/>
      <c r="E422" s="61"/>
      <c r="F422" s="61"/>
      <c r="G422" s="61"/>
      <c r="H422" s="61"/>
    </row>
    <row r="423" spans="2:8" s="2" customFormat="1" ht="12">
      <c r="B423" s="10"/>
      <c r="C423" s="61"/>
      <c r="D423" s="61"/>
      <c r="E423" s="61"/>
      <c r="F423" s="61"/>
      <c r="G423" s="61"/>
      <c r="H423" s="61"/>
    </row>
    <row r="424" spans="2:8" s="2" customFormat="1" ht="12">
      <c r="B424" s="10"/>
      <c r="C424" s="61"/>
      <c r="D424" s="61"/>
      <c r="E424" s="61"/>
      <c r="F424" s="61"/>
      <c r="G424" s="61"/>
      <c r="H424" s="61"/>
    </row>
    <row r="425" spans="2:8" s="2" customFormat="1" ht="12">
      <c r="B425" s="10"/>
      <c r="C425" s="37"/>
      <c r="D425" s="37"/>
      <c r="E425" s="37"/>
      <c r="F425" s="37"/>
      <c r="G425" s="37"/>
      <c r="H425" s="37"/>
    </row>
    <row r="426" spans="2:8" s="2" customFormat="1" ht="12">
      <c r="B426" s="10"/>
      <c r="C426" s="61" t="s">
        <v>19</v>
      </c>
      <c r="D426" s="61"/>
      <c r="E426" s="61"/>
      <c r="F426" s="61"/>
      <c r="G426" s="61"/>
      <c r="H426" s="61"/>
    </row>
    <row r="427" spans="2:8" s="2" customFormat="1" ht="12">
      <c r="B427" s="10"/>
      <c r="C427" s="61"/>
      <c r="D427" s="61"/>
      <c r="E427" s="61"/>
      <c r="F427" s="61"/>
      <c r="G427" s="61"/>
      <c r="H427" s="61"/>
    </row>
    <row r="428" spans="2:8" s="2" customFormat="1" ht="12">
      <c r="B428" s="10"/>
      <c r="C428" s="61" t="s">
        <v>20</v>
      </c>
      <c r="D428" s="61"/>
      <c r="E428" s="61"/>
      <c r="F428" s="61"/>
      <c r="G428" s="61"/>
      <c r="H428" s="61"/>
    </row>
    <row r="429" spans="2:8" s="2" customFormat="1" ht="12">
      <c r="B429" s="10"/>
      <c r="C429" s="61"/>
      <c r="D429" s="61"/>
      <c r="E429" s="61"/>
      <c r="F429" s="61"/>
      <c r="G429" s="61"/>
      <c r="H429" s="61"/>
    </row>
    <row r="430" spans="2:8" s="2" customFormat="1" ht="12">
      <c r="B430" s="10"/>
      <c r="C430" s="37"/>
      <c r="D430" s="37"/>
      <c r="E430" s="37"/>
      <c r="F430" s="37"/>
      <c r="G430" s="37"/>
      <c r="H430" s="37"/>
    </row>
    <row r="431" spans="2:8" s="2" customFormat="1" ht="12">
      <c r="B431" s="10"/>
      <c r="C431" s="37"/>
      <c r="D431" s="37"/>
      <c r="E431" s="37"/>
      <c r="F431" s="37"/>
      <c r="G431" s="37"/>
      <c r="H431" s="37"/>
    </row>
    <row r="432" spans="2:8" s="2" customFormat="1" ht="12">
      <c r="B432" s="10"/>
      <c r="C432" s="37"/>
      <c r="D432" s="37"/>
      <c r="E432" s="37"/>
      <c r="F432" s="37"/>
      <c r="G432" s="37"/>
      <c r="H432" s="37"/>
    </row>
    <row r="433" spans="1:9" s="2" customFormat="1" ht="12">
      <c r="B433" s="10"/>
      <c r="C433" s="37"/>
      <c r="D433" s="37"/>
      <c r="E433" s="37"/>
      <c r="F433" s="37"/>
      <c r="G433" s="37"/>
      <c r="H433" s="37"/>
    </row>
    <row r="434" spans="1:9" s="2" customFormat="1" ht="12">
      <c r="B434" s="10"/>
      <c r="H434" s="5"/>
    </row>
    <row r="435" spans="1:9" s="2" customFormat="1" ht="12">
      <c r="B435" s="10"/>
      <c r="H435" s="5"/>
    </row>
    <row r="436" spans="1:9" s="2" customFormat="1" ht="12">
      <c r="B436" s="10"/>
      <c r="H436" s="5"/>
    </row>
    <row r="437" spans="1:9" s="2" customFormat="1" ht="12">
      <c r="B437" s="76" t="s">
        <v>21</v>
      </c>
      <c r="C437" s="76"/>
      <c r="D437" s="77"/>
      <c r="G437" s="38" t="str">
        <f>D9</f>
        <v>Kyle Washington (Project manager)</v>
      </c>
      <c r="H437" s="38"/>
      <c r="I437" s="38"/>
    </row>
    <row r="438" spans="1:9" s="2" customFormat="1" ht="12">
      <c r="B438" s="74" t="s">
        <v>22</v>
      </c>
      <c r="C438" s="74"/>
      <c r="D438" s="74"/>
      <c r="E438" s="66"/>
      <c r="G438" s="2" t="str">
        <f>D5</f>
        <v>ANDRES CONSTRUCTION SERVICES LLC (Construction Manager / General Contractor)</v>
      </c>
    </row>
    <row r="439" spans="1:9" s="2" customFormat="1" ht="12">
      <c r="B439" s="10"/>
      <c r="H439" s="5"/>
    </row>
    <row r="440" spans="1:9" s="2" customFormat="1" ht="12">
      <c r="B440" s="74" t="s">
        <v>23</v>
      </c>
      <c r="C440" s="75"/>
      <c r="D440" s="75"/>
      <c r="G440" s="74" t="s">
        <v>16</v>
      </c>
      <c r="H440" s="75"/>
      <c r="I440" s="75"/>
    </row>
    <row r="441" spans="1:9" s="2" customFormat="1" ht="12">
      <c r="B441" s="10"/>
      <c r="H441" s="5"/>
    </row>
    <row r="442" spans="1:9" s="2" customFormat="1" ht="12">
      <c r="B442" s="10"/>
      <c r="H442" s="5"/>
    </row>
    <row r="443" spans="1:9" s="2" customFormat="1" ht="12">
      <c r="B443" s="10"/>
      <c r="H443" s="5"/>
    </row>
    <row r="444" spans="1:9" s="2" customFormat="1" ht="12">
      <c r="B444" s="10"/>
      <c r="H444" s="5"/>
    </row>
    <row r="445" spans="1:9" s="2" customFormat="1" ht="12">
      <c r="B445" s="10"/>
      <c r="H445" s="5"/>
    </row>
    <row r="446" spans="1:9" s="45" customFormat="1" ht="19.5" customHeight="1">
      <c r="A446" s="2"/>
      <c r="B446" s="2"/>
      <c r="C446" s="2"/>
      <c r="D446" s="2"/>
      <c r="E446" s="2"/>
      <c r="F446" s="2"/>
      <c r="G446" s="2"/>
      <c r="H446" s="2"/>
      <c r="I446" s="2"/>
    </row>
    <row r="447" spans="1:9" s="2" customFormat="1" ht="12"/>
    <row r="448" spans="1:9" s="2" customFormat="1" ht="12"/>
    <row r="449" spans="1:9" s="2" customFormat="1" ht="12"/>
    <row r="450" spans="1:9" s="2" customFormat="1" ht="11.1" customHeight="1"/>
    <row r="451" spans="1:9" s="2" customFormat="1" ht="12"/>
    <row r="452" spans="1:9" s="2" customFormat="1">
      <c r="A452" s="1"/>
      <c r="B452" s="1"/>
      <c r="C452" s="1"/>
      <c r="D452" s="1"/>
      <c r="E452" s="1"/>
      <c r="F452" s="1"/>
      <c r="G452" s="1"/>
      <c r="H452" s="1"/>
      <c r="I452" s="1"/>
    </row>
    <row r="453" spans="1:9" s="2" customFormat="1">
      <c r="A453" s="1"/>
      <c r="B453" s="1"/>
      <c r="C453" s="1"/>
      <c r="D453" s="1"/>
      <c r="E453" s="1"/>
      <c r="F453" s="1"/>
      <c r="G453" s="1"/>
      <c r="H453" s="1"/>
      <c r="I453" s="1"/>
    </row>
    <row r="454" spans="1:9" s="2" customFormat="1">
      <c r="A454" s="1"/>
      <c r="B454" s="1"/>
      <c r="C454" s="1"/>
      <c r="D454" s="1"/>
      <c r="E454" s="1"/>
      <c r="F454" s="1"/>
      <c r="G454" s="1"/>
      <c r="H454" s="1"/>
      <c r="I454" s="1"/>
    </row>
    <row r="455" spans="1:9" s="2" customFormat="1">
      <c r="A455" s="1"/>
      <c r="B455" s="1"/>
      <c r="C455" s="1"/>
      <c r="D455" s="1"/>
      <c r="E455" s="1"/>
      <c r="F455" s="1"/>
      <c r="G455" s="1"/>
      <c r="H455" s="1"/>
      <c r="I455" s="1"/>
    </row>
    <row r="456" spans="1:9" s="2" customFormat="1">
      <c r="A456" s="1"/>
      <c r="B456" s="1"/>
      <c r="C456" s="1"/>
      <c r="D456" s="1"/>
      <c r="E456" s="1"/>
      <c r="F456" s="1"/>
      <c r="G456" s="1"/>
      <c r="H456" s="1"/>
      <c r="I456" s="1"/>
    </row>
    <row r="457" spans="1:9" s="2" customFormat="1">
      <c r="A457" s="1"/>
      <c r="B457" s="1"/>
      <c r="C457" s="1"/>
      <c r="D457" s="1"/>
      <c r="E457" s="1"/>
      <c r="F457" s="1"/>
      <c r="G457" s="1"/>
      <c r="H457" s="1"/>
      <c r="I457" s="1"/>
    </row>
    <row r="458" spans="1:9" s="2" customFormat="1">
      <c r="A458" s="1"/>
      <c r="B458" s="1"/>
      <c r="C458" s="1"/>
      <c r="D458" s="1"/>
      <c r="E458" s="1"/>
      <c r="F458" s="1"/>
      <c r="G458" s="1"/>
      <c r="H458" s="1"/>
      <c r="I458" s="1"/>
    </row>
    <row r="459" spans="1:9" s="2" customFormat="1">
      <c r="A459" s="1"/>
      <c r="B459" s="1"/>
      <c r="C459" s="1"/>
      <c r="D459" s="1"/>
      <c r="E459" s="1"/>
      <c r="F459" s="1"/>
      <c r="G459" s="1"/>
      <c r="H459" s="1"/>
      <c r="I459" s="1"/>
    </row>
    <row r="460" spans="1:9" s="2" customFormat="1">
      <c r="A460" s="1"/>
      <c r="B460" s="1"/>
      <c r="C460" s="1"/>
      <c r="D460" s="1"/>
      <c r="E460" s="1"/>
      <c r="F460" s="1"/>
      <c r="G460" s="1"/>
      <c r="H460" s="1"/>
      <c r="I460" s="1"/>
    </row>
    <row r="461" spans="1:9" s="2" customFormat="1">
      <c r="A461" s="1"/>
      <c r="B461" s="1"/>
      <c r="C461" s="1"/>
      <c r="D461" s="1"/>
      <c r="E461" s="1"/>
      <c r="F461" s="1"/>
      <c r="G461" s="1"/>
      <c r="H461" s="1"/>
      <c r="I461" s="1"/>
    </row>
    <row r="462" spans="1:9" s="2" customFormat="1">
      <c r="A462" s="1"/>
      <c r="B462" s="1"/>
      <c r="C462" s="1"/>
      <c r="D462" s="1"/>
      <c r="E462" s="1"/>
      <c r="F462" s="1"/>
      <c r="G462" s="1"/>
      <c r="H462" s="1"/>
      <c r="I462" s="1"/>
    </row>
    <row r="463" spans="1:9" s="2" customFormat="1">
      <c r="A463" s="1"/>
      <c r="B463" s="1"/>
      <c r="C463" s="1"/>
      <c r="D463" s="1"/>
      <c r="E463" s="1"/>
      <c r="F463" s="1"/>
      <c r="G463" s="1"/>
      <c r="H463" s="1"/>
      <c r="I463" s="1"/>
    </row>
    <row r="464" spans="1:9" s="2" customFormat="1">
      <c r="A464" s="1"/>
      <c r="B464" s="1"/>
      <c r="C464" s="1"/>
      <c r="D464" s="1"/>
      <c r="E464" s="1"/>
      <c r="F464" s="1"/>
      <c r="G464" s="1"/>
      <c r="H464" s="1"/>
      <c r="I464" s="1"/>
    </row>
    <row r="465" spans="1:9" s="2" customFormat="1">
      <c r="A465" s="1"/>
      <c r="B465" s="1"/>
      <c r="C465" s="1"/>
      <c r="D465" s="1"/>
      <c r="E465" s="1"/>
      <c r="F465" s="1"/>
      <c r="G465" s="1"/>
      <c r="H465" s="1"/>
      <c r="I465" s="1"/>
    </row>
    <row r="466" spans="1:9" s="2" customFormat="1">
      <c r="A466" s="1"/>
      <c r="B466" s="1"/>
      <c r="C466" s="1"/>
      <c r="D466" s="1"/>
      <c r="E466" s="1"/>
      <c r="F466" s="1"/>
      <c r="G466" s="1"/>
      <c r="H466" s="1"/>
      <c r="I466" s="1"/>
    </row>
    <row r="467" spans="1:9" s="2" customFormat="1">
      <c r="A467" s="1"/>
      <c r="B467" s="1"/>
      <c r="C467" s="1"/>
      <c r="D467" s="1"/>
      <c r="E467" s="1"/>
      <c r="F467" s="1"/>
      <c r="G467" s="1"/>
      <c r="H467" s="1"/>
      <c r="I467" s="1"/>
    </row>
    <row r="468" spans="1:9" s="2" customFormat="1">
      <c r="A468" s="1"/>
      <c r="B468" s="1"/>
      <c r="C468" s="1"/>
      <c r="D468" s="1"/>
      <c r="E468" s="1"/>
      <c r="F468" s="1"/>
      <c r="G468" s="1"/>
      <c r="H468" s="1"/>
      <c r="I468" s="1"/>
    </row>
    <row r="469" spans="1:9" s="2" customFormat="1">
      <c r="A469" s="1"/>
      <c r="B469" s="1"/>
      <c r="C469" s="1"/>
      <c r="D469" s="1"/>
      <c r="E469" s="1"/>
      <c r="F469" s="1"/>
      <c r="G469" s="1"/>
      <c r="H469" s="1"/>
      <c r="I469" s="1"/>
    </row>
    <row r="470" spans="1:9" s="2" customFormat="1">
      <c r="A470" s="1"/>
      <c r="B470" s="1"/>
      <c r="C470" s="1"/>
      <c r="D470" s="1"/>
      <c r="E470" s="1"/>
      <c r="F470" s="1"/>
      <c r="G470" s="1"/>
      <c r="H470" s="1"/>
      <c r="I470" s="1"/>
    </row>
    <row r="471" spans="1:9" s="2" customFormat="1">
      <c r="A471" s="1"/>
      <c r="B471" s="1"/>
      <c r="C471" s="1"/>
      <c r="D471" s="1"/>
      <c r="E471" s="1"/>
      <c r="F471" s="1"/>
      <c r="G471" s="1"/>
      <c r="H471" s="1"/>
      <c r="I471" s="1"/>
    </row>
    <row r="472" spans="1:9" s="2" customFormat="1">
      <c r="A472" s="1"/>
      <c r="B472" s="1"/>
      <c r="C472" s="1"/>
      <c r="D472" s="1"/>
      <c r="E472" s="1"/>
      <c r="F472" s="1"/>
      <c r="G472" s="1"/>
      <c r="H472" s="1"/>
      <c r="I472" s="1"/>
    </row>
    <row r="473" spans="1:9" s="2" customFormat="1">
      <c r="A473" s="1"/>
      <c r="B473" s="1"/>
      <c r="C473" s="1"/>
      <c r="D473" s="1"/>
      <c r="E473" s="1"/>
      <c r="F473" s="1"/>
      <c r="G473" s="1"/>
      <c r="H473" s="1"/>
      <c r="I473" s="1"/>
    </row>
    <row r="474" spans="1:9" s="2" customFormat="1">
      <c r="A474" s="1"/>
      <c r="B474" s="1"/>
      <c r="C474" s="1"/>
      <c r="D474" s="1"/>
      <c r="E474" s="1"/>
      <c r="F474" s="1"/>
      <c r="G474" s="1"/>
      <c r="H474" s="1"/>
      <c r="I474" s="1"/>
    </row>
    <row r="475" spans="1:9" s="2" customFormat="1">
      <c r="A475" s="1"/>
      <c r="B475" s="1"/>
      <c r="C475" s="1"/>
      <c r="D475" s="1"/>
      <c r="E475" s="1"/>
      <c r="F475" s="1"/>
      <c r="G475" s="1"/>
      <c r="H475" s="1"/>
      <c r="I475" s="1"/>
    </row>
    <row r="476" spans="1:9" s="2" customFormat="1">
      <c r="A476" s="1"/>
      <c r="B476" s="1"/>
      <c r="C476" s="1"/>
      <c r="D476" s="1"/>
      <c r="E476" s="1"/>
      <c r="F476" s="1"/>
      <c r="G476" s="1"/>
      <c r="H476" s="1"/>
      <c r="I476" s="1"/>
    </row>
    <row r="477" spans="1:9" s="2" customFormat="1">
      <c r="A477" s="1"/>
      <c r="B477" s="1"/>
      <c r="C477" s="1"/>
      <c r="D477" s="1"/>
      <c r="E477" s="1"/>
      <c r="F477" s="1"/>
      <c r="G477" s="1"/>
      <c r="H477" s="1"/>
      <c r="I477" s="1"/>
    </row>
    <row r="478" spans="1:9" s="2" customFormat="1">
      <c r="A478" s="1"/>
      <c r="B478" s="1"/>
      <c r="C478" s="1"/>
      <c r="D478" s="1"/>
      <c r="E478" s="1"/>
      <c r="F478" s="1"/>
      <c r="G478" s="1"/>
      <c r="H478" s="1"/>
      <c r="I478" s="1"/>
    </row>
    <row r="479" spans="1:9" s="2" customFormat="1">
      <c r="A479" s="1"/>
      <c r="B479" s="1"/>
      <c r="C479" s="1"/>
      <c r="D479" s="1"/>
      <c r="E479" s="1"/>
      <c r="F479" s="1"/>
      <c r="G479" s="1"/>
      <c r="H479" s="1"/>
      <c r="I479" s="1"/>
    </row>
    <row r="480" spans="1:9" s="2" customFormat="1">
      <c r="A480" s="1"/>
      <c r="B480" s="1"/>
      <c r="C480" s="1"/>
      <c r="D480" s="1"/>
      <c r="E480" s="1"/>
      <c r="F480" s="1"/>
      <c r="G480" s="1"/>
      <c r="H480" s="1"/>
      <c r="I480" s="1"/>
    </row>
    <row r="481" spans="1:9" s="2" customFormat="1">
      <c r="A481" s="1"/>
      <c r="B481" s="1"/>
      <c r="C481" s="1"/>
      <c r="D481" s="1"/>
      <c r="E481" s="1"/>
      <c r="F481" s="1"/>
      <c r="G481" s="1"/>
      <c r="H481" s="1"/>
      <c r="I481" s="1"/>
    </row>
    <row r="482" spans="1:9" s="2" customFormat="1">
      <c r="A482" s="1"/>
      <c r="B482" s="1"/>
      <c r="C482" s="1"/>
      <c r="D482" s="1"/>
      <c r="E482" s="1"/>
      <c r="F482" s="1"/>
      <c r="G482" s="1"/>
      <c r="H482" s="1"/>
      <c r="I482" s="1"/>
    </row>
    <row r="483" spans="1:9" s="2" customFormat="1">
      <c r="A483" s="1"/>
      <c r="B483" s="1"/>
      <c r="C483" s="1"/>
      <c r="D483" s="1"/>
      <c r="E483" s="1"/>
      <c r="F483" s="1"/>
      <c r="G483" s="1"/>
      <c r="H483" s="1"/>
      <c r="I483" s="1"/>
    </row>
    <row r="484" spans="1:9" s="2" customFormat="1">
      <c r="A484" s="1"/>
      <c r="B484" s="1"/>
      <c r="C484" s="1"/>
      <c r="D484" s="1"/>
      <c r="E484" s="1"/>
      <c r="F484" s="1"/>
      <c r="G484" s="1"/>
      <c r="H484" s="1"/>
      <c r="I484" s="1"/>
    </row>
    <row r="485" spans="1:9" s="2" customFormat="1">
      <c r="A485" s="1"/>
      <c r="B485" s="1"/>
      <c r="C485" s="1"/>
      <c r="D485" s="1"/>
      <c r="E485" s="1"/>
      <c r="F485" s="1"/>
      <c r="G485" s="1"/>
      <c r="H485" s="1"/>
      <c r="I485" s="1"/>
    </row>
    <row r="486" spans="1:9" s="2" customFormat="1">
      <c r="A486" s="1"/>
      <c r="B486" s="1"/>
      <c r="C486" s="1"/>
      <c r="D486" s="1"/>
      <c r="E486" s="1"/>
      <c r="F486" s="1"/>
      <c r="G486" s="1"/>
      <c r="H486" s="1"/>
      <c r="I486" s="1"/>
    </row>
    <row r="487" spans="1:9" s="2" customFormat="1">
      <c r="A487" s="1"/>
      <c r="B487" s="1"/>
      <c r="C487" s="1"/>
      <c r="D487" s="1"/>
      <c r="E487" s="1"/>
      <c r="F487" s="1"/>
      <c r="G487" s="1"/>
      <c r="H487" s="1"/>
      <c r="I487" s="1"/>
    </row>
    <row r="488" spans="1:9" s="2" customFormat="1">
      <c r="A488" s="1"/>
      <c r="B488" s="1"/>
      <c r="C488" s="1"/>
      <c r="D488" s="1"/>
      <c r="E488" s="1"/>
      <c r="F488" s="1"/>
      <c r="G488" s="1"/>
      <c r="H488" s="1"/>
      <c r="I488" s="1"/>
    </row>
    <row r="489" spans="1:9" s="2" customFormat="1">
      <c r="A489" s="1"/>
      <c r="B489" s="1"/>
      <c r="C489" s="1"/>
      <c r="D489" s="1"/>
      <c r="E489" s="1"/>
      <c r="F489" s="1"/>
      <c r="G489" s="1"/>
      <c r="H489" s="1"/>
      <c r="I489" s="1"/>
    </row>
    <row r="490" spans="1:9" s="2" customFormat="1">
      <c r="A490" s="1"/>
      <c r="B490" s="1"/>
      <c r="C490" s="1"/>
      <c r="D490" s="1"/>
      <c r="E490" s="1"/>
      <c r="F490" s="1"/>
      <c r="G490" s="1"/>
      <c r="H490" s="1"/>
      <c r="I490" s="1"/>
    </row>
    <row r="491" spans="1:9" s="2" customFormat="1">
      <c r="A491" s="1"/>
      <c r="B491" s="1"/>
      <c r="C491" s="1"/>
      <c r="D491" s="1"/>
      <c r="E491" s="1"/>
      <c r="F491" s="1"/>
      <c r="G491" s="1"/>
      <c r="H491" s="1"/>
      <c r="I491" s="1"/>
    </row>
    <row r="492" spans="1:9" s="2" customFormat="1">
      <c r="A492" s="1"/>
      <c r="B492" s="1"/>
      <c r="C492" s="1"/>
      <c r="D492" s="1"/>
      <c r="E492" s="1"/>
      <c r="F492" s="1"/>
      <c r="G492" s="1"/>
      <c r="H492" s="1"/>
      <c r="I492" s="1"/>
    </row>
    <row r="493" spans="1:9" s="2" customFormat="1">
      <c r="A493" s="1"/>
      <c r="B493" s="1"/>
      <c r="C493" s="1"/>
      <c r="D493" s="1"/>
      <c r="E493" s="1"/>
      <c r="F493" s="1"/>
      <c r="G493" s="1"/>
      <c r="H493" s="1"/>
      <c r="I493" s="1"/>
    </row>
    <row r="494" spans="1:9" s="2" customFormat="1">
      <c r="A494" s="1"/>
      <c r="B494" s="1"/>
      <c r="C494" s="1"/>
      <c r="D494" s="1"/>
      <c r="E494" s="1"/>
      <c r="F494" s="1"/>
      <c r="G494" s="1"/>
      <c r="H494" s="1"/>
      <c r="I494" s="1"/>
    </row>
    <row r="495" spans="1:9" s="2" customFormat="1">
      <c r="A495" s="1"/>
      <c r="B495" s="1"/>
      <c r="C495" s="1"/>
      <c r="D495" s="1"/>
      <c r="E495" s="1"/>
      <c r="F495" s="1"/>
      <c r="G495" s="1"/>
      <c r="H495" s="1"/>
      <c r="I495" s="1"/>
    </row>
    <row r="496" spans="1:9" s="2" customFormat="1">
      <c r="A496" s="1"/>
      <c r="B496" s="1"/>
      <c r="C496" s="1"/>
      <c r="D496" s="1"/>
      <c r="E496" s="1"/>
      <c r="F496" s="1"/>
      <c r="G496" s="1"/>
      <c r="H496" s="1"/>
      <c r="I496" s="1"/>
    </row>
    <row r="497" spans="1:9" s="2" customFormat="1">
      <c r="A497" s="1"/>
      <c r="B497" s="1"/>
      <c r="C497" s="1"/>
      <c r="D497" s="1"/>
      <c r="E497" s="1"/>
      <c r="F497" s="1"/>
      <c r="G497" s="1"/>
      <c r="H497" s="1"/>
      <c r="I497" s="1"/>
    </row>
    <row r="498" spans="1:9" s="2" customFormat="1">
      <c r="A498" s="1"/>
      <c r="B498" s="1"/>
      <c r="C498" s="1"/>
      <c r="D498" s="1"/>
      <c r="E498" s="1"/>
      <c r="F498" s="1"/>
      <c r="G498" s="1"/>
      <c r="H498" s="1"/>
      <c r="I498" s="1"/>
    </row>
    <row r="499" spans="1:9" s="2" customFormat="1">
      <c r="A499" s="1"/>
      <c r="B499" s="1"/>
      <c r="C499" s="1"/>
      <c r="D499" s="1"/>
      <c r="E499" s="1"/>
      <c r="F499" s="1"/>
      <c r="G499" s="1"/>
      <c r="H499" s="1"/>
      <c r="I499" s="1"/>
    </row>
    <row r="500" spans="1:9" s="2" customFormat="1">
      <c r="A500" s="1"/>
      <c r="B500" s="1"/>
      <c r="C500" s="1"/>
      <c r="D500" s="1"/>
      <c r="E500" s="1"/>
      <c r="F500" s="1"/>
      <c r="G500" s="1"/>
      <c r="H500" s="1"/>
      <c r="I500" s="1"/>
    </row>
    <row r="501" spans="1:9" s="2" customFormat="1">
      <c r="A501" s="1"/>
      <c r="B501" s="1"/>
      <c r="C501" s="1"/>
      <c r="D501" s="1"/>
      <c r="E501" s="1"/>
      <c r="F501" s="1"/>
      <c r="G501" s="1"/>
      <c r="H501" s="1"/>
      <c r="I501" s="1"/>
    </row>
    <row r="502" spans="1:9" s="2" customFormat="1">
      <c r="A502" s="1"/>
      <c r="B502" s="1"/>
      <c r="C502" s="1"/>
      <c r="D502" s="1"/>
      <c r="E502" s="1"/>
      <c r="F502" s="1"/>
      <c r="G502" s="1"/>
      <c r="H502" s="1"/>
      <c r="I502" s="1"/>
    </row>
    <row r="503" spans="1:9" s="2" customFormat="1">
      <c r="A503" s="1"/>
      <c r="B503" s="1"/>
      <c r="C503" s="1"/>
      <c r="D503" s="1"/>
      <c r="E503" s="1"/>
      <c r="F503" s="1"/>
      <c r="G503" s="1"/>
      <c r="H503" s="1"/>
      <c r="I503" s="1"/>
    </row>
    <row r="504" spans="1:9" s="2" customFormat="1">
      <c r="A504" s="1"/>
      <c r="B504" s="1"/>
      <c r="C504" s="1"/>
      <c r="D504" s="1"/>
      <c r="E504" s="1"/>
      <c r="F504" s="1"/>
      <c r="G504" s="1"/>
      <c r="H504" s="1"/>
      <c r="I504" s="1"/>
    </row>
    <row r="505" spans="1:9" s="2" customFormat="1">
      <c r="A505" s="1"/>
      <c r="B505" s="1"/>
      <c r="C505" s="1"/>
      <c r="D505" s="1"/>
      <c r="E505" s="1"/>
      <c r="F505" s="1"/>
      <c r="G505" s="1"/>
      <c r="H505" s="1"/>
      <c r="I505" s="1"/>
    </row>
    <row r="506" spans="1:9" s="2" customFormat="1">
      <c r="A506" s="1"/>
      <c r="B506" s="1"/>
      <c r="C506" s="1"/>
      <c r="D506" s="1"/>
      <c r="E506" s="1"/>
      <c r="F506" s="1"/>
      <c r="G506" s="1"/>
      <c r="H506" s="1"/>
      <c r="I506" s="1"/>
    </row>
    <row r="507" spans="1:9" s="2" customFormat="1">
      <c r="A507" s="1"/>
      <c r="B507" s="1"/>
      <c r="C507" s="1"/>
      <c r="D507" s="1"/>
      <c r="E507" s="1"/>
      <c r="F507" s="1"/>
      <c r="G507" s="1"/>
      <c r="H507" s="1"/>
      <c r="I507" s="1"/>
    </row>
    <row r="508" spans="1:9" s="2" customFormat="1">
      <c r="A508" s="1"/>
      <c r="B508" s="1"/>
      <c r="C508" s="1"/>
      <c r="D508" s="1"/>
      <c r="E508" s="1"/>
      <c r="F508" s="1"/>
      <c r="G508" s="1"/>
      <c r="H508" s="1"/>
      <c r="I508" s="1"/>
    </row>
    <row r="509" spans="1:9" s="2" customFormat="1">
      <c r="A509" s="1"/>
      <c r="B509" s="1"/>
      <c r="C509" s="1"/>
      <c r="D509" s="1"/>
      <c r="E509" s="1"/>
      <c r="F509" s="1"/>
      <c r="G509" s="1"/>
      <c r="H509" s="1"/>
      <c r="I509" s="1"/>
    </row>
    <row r="510" spans="1:9" s="2" customFormat="1">
      <c r="A510" s="1"/>
      <c r="B510" s="1"/>
      <c r="C510" s="1"/>
      <c r="D510" s="1"/>
      <c r="E510" s="1"/>
      <c r="F510" s="1"/>
      <c r="G510" s="1"/>
      <c r="H510" s="1"/>
      <c r="I510" s="1"/>
    </row>
    <row r="511" spans="1:9" s="2" customFormat="1">
      <c r="A511" s="1"/>
      <c r="B511" s="1"/>
      <c r="C511" s="1"/>
      <c r="D511" s="1"/>
      <c r="E511" s="1"/>
      <c r="F511" s="1"/>
      <c r="G511" s="1"/>
      <c r="H511" s="1"/>
      <c r="I511" s="1"/>
    </row>
    <row r="512" spans="1:9" s="2" customFormat="1">
      <c r="A512" s="1"/>
      <c r="B512" s="1"/>
      <c r="C512" s="1"/>
      <c r="D512" s="1"/>
      <c r="E512" s="1"/>
      <c r="F512" s="1"/>
      <c r="G512" s="1"/>
      <c r="H512" s="1"/>
      <c r="I512" s="1"/>
    </row>
    <row r="513" spans="1:9" s="2" customFormat="1">
      <c r="A513" s="1"/>
      <c r="B513" s="1"/>
      <c r="C513" s="1"/>
      <c r="D513" s="1"/>
      <c r="E513" s="1"/>
      <c r="F513" s="1"/>
      <c r="G513" s="1"/>
      <c r="H513" s="1"/>
      <c r="I513" s="1"/>
    </row>
    <row r="514" spans="1:9" s="2" customFormat="1">
      <c r="A514" s="1"/>
      <c r="B514" s="1"/>
      <c r="C514" s="1"/>
      <c r="D514" s="1"/>
      <c r="E514" s="1"/>
      <c r="F514" s="1"/>
      <c r="G514" s="1"/>
      <c r="H514" s="1"/>
      <c r="I514" s="1"/>
    </row>
    <row r="515" spans="1:9" s="2" customFormat="1">
      <c r="A515" s="1"/>
      <c r="B515" s="1"/>
      <c r="C515" s="1"/>
      <c r="D515" s="1"/>
      <c r="E515" s="1"/>
      <c r="F515" s="1"/>
      <c r="G515" s="1"/>
      <c r="H515" s="1"/>
      <c r="I515" s="1"/>
    </row>
    <row r="516" spans="1:9" s="2" customFormat="1">
      <c r="A516" s="1"/>
      <c r="B516" s="1"/>
      <c r="C516" s="1"/>
      <c r="D516" s="1"/>
      <c r="E516" s="1"/>
      <c r="F516" s="1"/>
      <c r="G516" s="1"/>
      <c r="H516" s="1"/>
      <c r="I516" s="1"/>
    </row>
    <row r="517" spans="1:9" s="2" customFormat="1">
      <c r="A517" s="1"/>
      <c r="B517" s="1"/>
      <c r="C517" s="1"/>
      <c r="D517" s="1"/>
      <c r="E517" s="1"/>
      <c r="F517" s="1"/>
      <c r="G517" s="1"/>
      <c r="H517" s="1"/>
      <c r="I517" s="1"/>
    </row>
    <row r="518" spans="1:9" s="2" customFormat="1">
      <c r="A518" s="1"/>
      <c r="B518" s="1"/>
      <c r="C518" s="1"/>
      <c r="D518" s="1"/>
      <c r="E518" s="1"/>
      <c r="F518" s="1"/>
      <c r="G518" s="1"/>
      <c r="H518" s="1"/>
      <c r="I518" s="1"/>
    </row>
  </sheetData>
  <mergeCells count="69">
    <mergeCell ref="A82:G83"/>
    <mergeCell ref="A347:H348"/>
    <mergeCell ref="I347:I348"/>
    <mergeCell ref="G345:H345"/>
    <mergeCell ref="G402:H402"/>
    <mergeCell ref="I122:I123"/>
    <mergeCell ref="A178:H179"/>
    <mergeCell ref="I178:I179"/>
    <mergeCell ref="A212:G213"/>
    <mergeCell ref="I212:I213"/>
    <mergeCell ref="A256:G257"/>
    <mergeCell ref="I256:I257"/>
    <mergeCell ref="I191:I192"/>
    <mergeCell ref="A191:H192"/>
    <mergeCell ref="A201:H202"/>
    <mergeCell ref="I201:I202"/>
    <mergeCell ref="G176:H176"/>
    <mergeCell ref="A88:H89"/>
    <mergeCell ref="A99:H100"/>
    <mergeCell ref="A134:H135"/>
    <mergeCell ref="A149:H150"/>
    <mergeCell ref="A164:H165"/>
    <mergeCell ref="A122:H123"/>
    <mergeCell ref="I82:I83"/>
    <mergeCell ref="I164:I165"/>
    <mergeCell ref="I18:I19"/>
    <mergeCell ref="A18:C19"/>
    <mergeCell ref="G120:H120"/>
    <mergeCell ref="I31:I32"/>
    <mergeCell ref="I88:I89"/>
    <mergeCell ref="I99:I100"/>
    <mergeCell ref="I134:I135"/>
    <mergeCell ref="A31:G32"/>
    <mergeCell ref="A44:G45"/>
    <mergeCell ref="I44:I45"/>
    <mergeCell ref="A65:G66"/>
    <mergeCell ref="I65:I66"/>
    <mergeCell ref="I149:I150"/>
    <mergeCell ref="G63:H63"/>
    <mergeCell ref="B440:D440"/>
    <mergeCell ref="G440:I440"/>
    <mergeCell ref="C426:H427"/>
    <mergeCell ref="C428:H429"/>
    <mergeCell ref="B437:D437"/>
    <mergeCell ref="B438:E438"/>
    <mergeCell ref="C412:H413"/>
    <mergeCell ref="C421:H424"/>
    <mergeCell ref="H359:H360"/>
    <mergeCell ref="H372:H373"/>
    <mergeCell ref="B365:H371"/>
    <mergeCell ref="C409:H410"/>
    <mergeCell ref="H362:H363"/>
    <mergeCell ref="B359:F360"/>
    <mergeCell ref="B362:F363"/>
    <mergeCell ref="C418:H419"/>
    <mergeCell ref="C415:H416"/>
    <mergeCell ref="C406:H407"/>
    <mergeCell ref="B372:E373"/>
    <mergeCell ref="G231:H231"/>
    <mergeCell ref="A275:G276"/>
    <mergeCell ref="I275:I276"/>
    <mergeCell ref="I328:I329"/>
    <mergeCell ref="A307:G308"/>
    <mergeCell ref="I307:I308"/>
    <mergeCell ref="I290:I291"/>
    <mergeCell ref="G288:H288"/>
    <mergeCell ref="A328:H329"/>
    <mergeCell ref="A290:H291"/>
    <mergeCell ref="A233:H234"/>
  </mergeCells>
  <phoneticPr fontId="2"/>
  <printOptions horizontalCentered="1" verticalCentered="1"/>
  <pageMargins left="0.25" right="0.25" top="0.75" bottom="0.75" header="0.3" footer="0.3"/>
  <pageSetup orientation="portrait" horizontalDpi="4294967292" verticalDpi="4294967292" r:id="rId1"/>
  <headerFooter alignWithMargins="0">
    <oddHeader>&amp;C&amp;G</oddHeader>
    <oddFooter>&amp;L1351 Regal Row
Dallas, Texas 75247&amp;RFON 214-630-2125
FAX 214-630-2314</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Normal="100" workbookViewId="0"/>
  </sheetViews>
  <sheetFormatPr defaultColWidth="11" defaultRowHeight="12.75"/>
  <sheetData/>
  <phoneticPr fontId="4" type="noConversion"/>
  <pageMargins left="0.75" right="0.75" top="1" bottom="1" header="0.5" footer="0.5"/>
  <pageSetup orientation="portrait" horizontalDpi="4294967292" verticalDpi="429496729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Normal="100" workbookViewId="0"/>
  </sheetViews>
  <sheetFormatPr defaultColWidth="11" defaultRowHeight="12.75"/>
  <sheetData/>
  <phoneticPr fontId="4" type="noConversion"/>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Alissa Wyatt</dc:creator>
  <cp:lastModifiedBy>Marcia Webster</cp:lastModifiedBy>
  <cp:lastPrinted>2021-09-23T18:12:10Z</cp:lastPrinted>
  <dcterms:created xsi:type="dcterms:W3CDTF">2008-03-19T14:06:24Z</dcterms:created>
  <dcterms:modified xsi:type="dcterms:W3CDTF">2023-02-20T21:07:48Z</dcterms:modified>
</cp:coreProperties>
</file>