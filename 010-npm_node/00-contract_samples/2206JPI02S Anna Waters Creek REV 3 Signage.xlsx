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ate1904="1"/>
  <mc:AlternateContent xmlns:mc="http://schemas.openxmlformats.org/markup-compatibility/2006">
    <mc:Choice Requires="x15">
      <x15ac:absPath xmlns:x15ac="http://schemas.microsoft.com/office/spreadsheetml/2010/11/ac" url="/Volumes/company/CONTRACTS/JPI - Dallas/Anna Waters Creek/"/>
    </mc:Choice>
  </mc:AlternateContent>
  <xr:revisionPtr revIDLastSave="0" documentId="8_{4F2B285D-F0AD-3B46-B77E-840E22962851}" xr6:coauthVersionLast="47" xr6:coauthVersionMax="47" xr10:uidLastSave="{00000000-0000-0000-0000-000000000000}"/>
  <bookViews>
    <workbookView xWindow="16600" yWindow="500" windowWidth="26140" windowHeight="26660" tabRatio="50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07" i="1" l="1"/>
  <c r="I157" i="1"/>
  <c r="I90" i="1"/>
  <c r="I65" i="1"/>
  <c r="I63" i="1"/>
  <c r="I38" i="1"/>
  <c r="I71" i="1"/>
  <c r="I20" i="1"/>
  <c r="I37" i="1"/>
  <c r="I202" i="1"/>
  <c r="I204" i="1"/>
  <c r="I198" i="1" s="1"/>
  <c r="I154" i="1"/>
  <c r="I153" i="1"/>
  <c r="I104" i="1"/>
  <c r="I196" i="1"/>
  <c r="I170" i="1"/>
  <c r="I155" i="1"/>
  <c r="I171" i="1"/>
  <c r="I166" i="1"/>
  <c r="I141" i="1"/>
  <c r="I130" i="1"/>
  <c r="I118" i="1"/>
  <c r="I101" i="1"/>
  <c r="I89" i="1"/>
  <c r="I87" i="1"/>
  <c r="I83" i="1"/>
  <c r="G266" i="1"/>
  <c r="F266" i="1"/>
  <c r="G213" i="1"/>
  <c r="F213" i="1"/>
  <c r="I224" i="1"/>
  <c r="I223" i="1"/>
  <c r="I222" i="1"/>
  <c r="I221" i="1"/>
  <c r="I220" i="1"/>
  <c r="I219" i="1"/>
  <c r="I218" i="1"/>
  <c r="I215" i="1" s="1"/>
  <c r="I205" i="1"/>
  <c r="I206" i="1"/>
  <c r="I201" i="1"/>
  <c r="I195" i="1"/>
  <c r="I194" i="1"/>
  <c r="I193" i="1"/>
  <c r="I192" i="1"/>
  <c r="I191" i="1"/>
  <c r="I190" i="1"/>
  <c r="I189" i="1"/>
  <c r="I186" i="1" s="1"/>
  <c r="G160" i="1"/>
  <c r="F160" i="1"/>
  <c r="I181" i="1"/>
  <c r="I184" i="1"/>
  <c r="I183" i="1"/>
  <c r="I182" i="1"/>
  <c r="I180" i="1"/>
  <c r="I179" i="1"/>
  <c r="I178" i="1"/>
  <c r="I175" i="1" s="1"/>
  <c r="I173" i="1"/>
  <c r="I172" i="1"/>
  <c r="I169" i="1"/>
  <c r="I168" i="1"/>
  <c r="I167" i="1"/>
  <c r="I165" i="1"/>
  <c r="I162" i="1" s="1"/>
  <c r="I146" i="1"/>
  <c r="I143" i="1" s="1"/>
  <c r="I156" i="1"/>
  <c r="I152" i="1"/>
  <c r="I148" i="1"/>
  <c r="I151" i="1"/>
  <c r="I150" i="1"/>
  <c r="I149" i="1"/>
  <c r="I147" i="1"/>
  <c r="I140" i="1"/>
  <c r="I139" i="1"/>
  <c r="I138" i="1"/>
  <c r="I137" i="1"/>
  <c r="I136" i="1"/>
  <c r="I133" i="1" s="1"/>
  <c r="I131" i="1"/>
  <c r="I129" i="1"/>
  <c r="I128" i="1"/>
  <c r="I127" i="1"/>
  <c r="I126" i="1"/>
  <c r="I125" i="1"/>
  <c r="I124" i="1"/>
  <c r="I121" i="1" s="1"/>
  <c r="I119" i="1"/>
  <c r="I117" i="1"/>
  <c r="I113" i="1"/>
  <c r="I116" i="1"/>
  <c r="I115" i="1"/>
  <c r="I114" i="1"/>
  <c r="I112" i="1"/>
  <c r="I109" i="1" s="1"/>
  <c r="I103" i="1"/>
  <c r="I102" i="1"/>
  <c r="I100" i="1"/>
  <c r="I96" i="1"/>
  <c r="I99" i="1"/>
  <c r="I98" i="1"/>
  <c r="I92" i="1" s="1"/>
  <c r="I97" i="1"/>
  <c r="I95" i="1"/>
  <c r="I88" i="1"/>
  <c r="I86" i="1"/>
  <c r="I85" i="1"/>
  <c r="I84" i="1"/>
  <c r="I82" i="1"/>
  <c r="I79" i="1" s="1"/>
  <c r="I77" i="1"/>
  <c r="I76" i="1"/>
  <c r="I75" i="1"/>
  <c r="I74" i="1"/>
  <c r="I73" i="1"/>
  <c r="I70" i="1"/>
  <c r="I67" i="1" s="1"/>
  <c r="I62" i="1"/>
  <c r="I61" i="1"/>
  <c r="I60" i="1"/>
  <c r="I59" i="1"/>
  <c r="I53" i="1"/>
  <c r="I52" i="1"/>
  <c r="I51" i="1"/>
  <c r="I50" i="1"/>
  <c r="I49" i="1"/>
  <c r="I48" i="1"/>
  <c r="I47" i="1"/>
  <c r="I46" i="1"/>
  <c r="I45" i="1"/>
  <c r="I44" i="1"/>
  <c r="I43" i="1"/>
  <c r="I40" i="1" s="1"/>
  <c r="I36" i="1"/>
  <c r="I35" i="1"/>
  <c r="I34" i="1"/>
  <c r="I33" i="1"/>
  <c r="I32" i="1"/>
  <c r="I31" i="1"/>
  <c r="I29" i="1"/>
  <c r="I27" i="1"/>
  <c r="I24" i="1" s="1"/>
  <c r="I17" i="1"/>
  <c r="I14" i="1" s="1"/>
  <c r="G107" i="1"/>
  <c r="F107" i="1"/>
  <c r="G54" i="1"/>
  <c r="G297" i="1"/>
  <c r="G296" i="1"/>
  <c r="F54" i="1"/>
  <c r="H226" i="1" l="1"/>
  <c r="H243" i="1" s="1"/>
</calcChain>
</file>

<file path=xl/sharedStrings.xml><?xml version="1.0" encoding="utf-8"?>
<sst xmlns="http://schemas.openxmlformats.org/spreadsheetml/2006/main" count="338" uniqueCount="154">
  <si>
    <t>PERMIT PROCUREMENT &amp; ACQUISITION (ALL CITY &amp; ENGINEERING FEES ADDITIONAL, BILLED AT COST):</t>
    <phoneticPr fontId="2"/>
  </si>
  <si>
    <t>This contract reflects ALL installation trips to property.  The initial installation trip is to occur when the Information Center is to open and consists of Monuments signage, Information Center Interior signage, Information Exterior signage and the surrounding areas, as well as, buildings ready to receive signage.  Our LAST installation trip will consist of punch-out and completion of signage installation.  All signage needs for C.O. purposes that cannot be installed initially will be left on property with the job supervisor to suit his or her needs.  Fource Communications, Ltd. will do its best to coordinate total installation.  The owner, turnover schedules sometimes dictate otherwise, so to avoid any additional billing due to extra site visits, on site personnel will have ability to meet C.O. needs.</t>
  </si>
  <si>
    <t>50% deposit required to begin.  Balance due upon completion and final invoice.  If it becomes necessary for Fource Communications, Ltd. to secure a collections agency and/or attorney to pursue payment, the Client is responsible for any expenses incurred by Fource Communications, Ltd.</t>
  </si>
  <si>
    <t>TRAVEL/INSTALLATION</t>
  </si>
  <si>
    <t>**</t>
  </si>
  <si>
    <t>SUBTOTAL</t>
  </si>
  <si>
    <t>STANDARD PRODUCTION AND FABRICATION TIME IS 4-6 WEEKS FROM COMPLETE SIGNAGE BOOK APPROVAL.</t>
  </si>
  <si>
    <t>#1: ENTRY SIGNAGE</t>
    <phoneticPr fontId="2"/>
  </si>
  <si>
    <t>#2: LEASING CENTER- EXTERIOR SIGNAGE</t>
    <phoneticPr fontId="2"/>
  </si>
  <si>
    <t>SIGNAGE PROGRAM:</t>
    <phoneticPr fontId="2"/>
  </si>
  <si>
    <t>QTY.</t>
    <phoneticPr fontId="2"/>
  </si>
  <si>
    <t>DESCRIPTION:</t>
    <phoneticPr fontId="2"/>
  </si>
  <si>
    <t xml:space="preserve">SIGNAGE ADDED AFTER INSTALLATION BEGINS, WILL BE OPENED AS A SEPARATE JOB AND WILL REMAIN OPEN UNTIL AMOUNT IS GREAT ENOUGH TO BILL. </t>
    <phoneticPr fontId="2"/>
  </si>
  <si>
    <t>****</t>
    <phoneticPr fontId="2"/>
  </si>
  <si>
    <t>*****</t>
    <phoneticPr fontId="2"/>
  </si>
  <si>
    <t>******</t>
    <phoneticPr fontId="2"/>
  </si>
  <si>
    <t>ALL ADDITIONAL TRAVEL/INSTALLATION,  ALL SHIPPING/HANDLING OR COURIER CHARGES INCURRED WILL BE BILLED WITHIN THE FINAL NOTICE.</t>
    <phoneticPr fontId="2"/>
  </si>
  <si>
    <r>
      <t>DATE:</t>
    </r>
    <r>
      <rPr>
        <u/>
        <sz val="9"/>
        <rFont val="Gill Sans Light"/>
      </rPr>
      <t xml:space="preserve">                                                            </t>
    </r>
  </si>
  <si>
    <t xml:space="preserve">ARTWORK/PROOFS WILL BEGIN ONCE QUOTE IS SIGNED-OFF AND RECEIVED BY FOURCE. </t>
    <phoneticPr fontId="2"/>
  </si>
  <si>
    <t>This quote automatically expires at 5:00 PM of the 30th day from the date set out below.</t>
  </si>
  <si>
    <t>The signatures below serve as a binding contract that both parties agree to the scope of work and the terms and conditions as stated above.</t>
  </si>
  <si>
    <t>MURPHY WEBSTER, III</t>
  </si>
  <si>
    <t>FOURCE COMMUNICATIONS, LTD.</t>
  </si>
  <si>
    <t>DATE:</t>
  </si>
  <si>
    <t>CLIENT:</t>
  </si>
  <si>
    <t>ATTN:</t>
  </si>
  <si>
    <t>QUOTE #:</t>
  </si>
  <si>
    <t>***</t>
  </si>
  <si>
    <t>TERMS:</t>
  </si>
  <si>
    <t>COST PER SIGN</t>
  </si>
  <si>
    <t>TOTAL</t>
  </si>
  <si>
    <t>*******</t>
  </si>
  <si>
    <t>1/2 DOWN INSTALLMENT DUE UPON APPROVAL OF CONTRACT.</t>
  </si>
  <si>
    <t>FOURCE COMMUNICATIONS</t>
    <phoneticPr fontId="2"/>
  </si>
  <si>
    <t>QUOTE#</t>
    <phoneticPr fontId="2"/>
  </si>
  <si>
    <t>PAGE 2</t>
    <phoneticPr fontId="2"/>
  </si>
  <si>
    <t>BACK HALF WILL BE BILLED UPON INITIAL INSTALL LESS 10%. FINAL RETAINAGE DUE UPON COMPLETION.</t>
  </si>
  <si>
    <r>
      <t xml:space="preserve">#3: LEASING CENTER - INTERIOR SIGNAGE </t>
    </r>
    <r>
      <rPr>
        <b/>
        <sz val="9"/>
        <color indexed="10"/>
        <rFont val="Gill Sans Light"/>
      </rPr>
      <t>*ADA/BRAILLE WHERE APPLICABLE</t>
    </r>
  </si>
  <si>
    <t>A.</t>
  </si>
  <si>
    <t>B.</t>
  </si>
  <si>
    <t>C.</t>
  </si>
  <si>
    <t>D.</t>
  </si>
  <si>
    <t>E.</t>
  </si>
  <si>
    <r>
      <t xml:space="preserve">#4: SITE SIGNAGE </t>
    </r>
    <r>
      <rPr>
        <b/>
        <sz val="9"/>
        <color indexed="10"/>
        <rFont val="Gill Sans Light"/>
      </rPr>
      <t>*ADA/BRAILLE WHERE APPLICABLE</t>
    </r>
  </si>
  <si>
    <t>PAGE 3</t>
  </si>
  <si>
    <t>HOURS SIGN W/ CHANGEABLE HOURS</t>
  </si>
  <si>
    <t>"DOORS TO REMAIN UNLOCKED…" VINYL KIT</t>
  </si>
  <si>
    <t>POOL POLICY</t>
  </si>
  <si>
    <t>ADDT. TX 2022 POOL POLICY</t>
  </si>
  <si>
    <t>WARNING NO LIFEGUARD / NO DIVING</t>
  </si>
  <si>
    <t>911 EMERGENCY PHONE SIGN</t>
  </si>
  <si>
    <t>POOL GATE W/ HOURS &amp; 911 DIRECTIONAL</t>
  </si>
  <si>
    <t>F.</t>
  </si>
  <si>
    <t>G.</t>
  </si>
  <si>
    <t>H.</t>
  </si>
  <si>
    <t>I.</t>
  </si>
  <si>
    <t>DOUBLE DOOR VINYL KIT (LOGO, URL, PHONE)</t>
  </si>
  <si>
    <t>JPI REALTY, INC.</t>
  </si>
  <si>
    <t>600 E. LAS COLINAS BLVD. #1800</t>
  </si>
  <si>
    <t>IRVING, TX 75039</t>
  </si>
  <si>
    <t>SAUL REYES</t>
  </si>
  <si>
    <t>2206JPI02S</t>
  </si>
  <si>
    <t>ANNA WATERS CREEK</t>
  </si>
  <si>
    <t>CUSTOM FUTURE RESIDENT PARKING SIGN - POLE MOUNT</t>
  </si>
  <si>
    <t>CUSTOM HANDICAP PARKING SIGN (X1 STD, X1 VAN) - POLE MOUNT</t>
  </si>
  <si>
    <t>CUSTOM USPS PARKING SIGN - POLE MOUNT</t>
  </si>
  <si>
    <t>MANAGER ID W/ PVC BACKER</t>
  </si>
  <si>
    <t>ASST. MANAGER ID W/ PVC BACKER</t>
  </si>
  <si>
    <t>EMPLOYEE ONLY (X2 WORK ROOM, X1 JANITOR)</t>
  </si>
  <si>
    <t>MAIL ROOM ID (X1 EXT, X1 INT)</t>
  </si>
  <si>
    <t>PACKAGE ID</t>
  </si>
  <si>
    <t>MEN'S RESTROOM ID</t>
  </si>
  <si>
    <t>WOMEN'S RESTROOM ID</t>
  </si>
  <si>
    <t>FITNESS POLICY - WALL MOUNT</t>
  </si>
  <si>
    <t>CLUB ROOM POLICY - WALL MOUNT</t>
  </si>
  <si>
    <t>YOGA ID</t>
  </si>
  <si>
    <t>MDF ID</t>
  </si>
  <si>
    <t>J.</t>
  </si>
  <si>
    <t>K.</t>
  </si>
  <si>
    <t>L.</t>
  </si>
  <si>
    <t>M.</t>
  </si>
  <si>
    <t>N.</t>
  </si>
  <si>
    <t>O.</t>
  </si>
  <si>
    <t>ENTER / EXIT / GATE WARNING SIGN COMBO</t>
  </si>
  <si>
    <t>MAIL KIOSK ID</t>
  </si>
  <si>
    <r>
      <t xml:space="preserve">#5: BUILDING MF-1 LEVEL BASEMENT SIGNAGE </t>
    </r>
    <r>
      <rPr>
        <b/>
        <sz val="9"/>
        <color indexed="10"/>
        <rFont val="Gill Sans Light"/>
      </rPr>
      <t>*ADA/BRAILLE WHERE APPLICABLE</t>
    </r>
  </si>
  <si>
    <t>BUILDING ID W/ UNIT SPREAD</t>
  </si>
  <si>
    <t>STAIR / LEVEL</t>
  </si>
  <si>
    <t xml:space="preserve">STAIRWELL </t>
  </si>
  <si>
    <r>
      <t xml:space="preserve">#6: BUILDING MF-1 LEVEL 1 SIGNAGE </t>
    </r>
    <r>
      <rPr>
        <b/>
        <sz val="9"/>
        <color indexed="10"/>
        <rFont val="Gill Sans Light"/>
      </rPr>
      <t>*ADA/BRAILLE WHERE APPLICABLE</t>
    </r>
  </si>
  <si>
    <t>STAIRWELL</t>
  </si>
  <si>
    <t>ELEVATOR EGRESS MAP / DO NOT USE</t>
  </si>
  <si>
    <t>HALLWAY DIRECTIONAL</t>
  </si>
  <si>
    <t>FIRE DOOR / DO NOT USE</t>
  </si>
  <si>
    <t>FDC W/ ADDRESS</t>
  </si>
  <si>
    <r>
      <t xml:space="preserve">#7: BUILDING MF-1 LEVEL 2 SIGNAGE </t>
    </r>
    <r>
      <rPr>
        <b/>
        <sz val="9"/>
        <color indexed="10"/>
        <rFont val="Gill Sans Light"/>
      </rPr>
      <t>*ADA/BRAILLE WHERE APPLICABLE</t>
    </r>
  </si>
  <si>
    <r>
      <t xml:space="preserve">#8: BUILDING MF-1 LEVEL 3 SIGNAGE </t>
    </r>
    <r>
      <rPr>
        <b/>
        <sz val="9"/>
        <color indexed="10"/>
        <rFont val="Gill Sans Light"/>
      </rPr>
      <t>*ADA/BRAILLE WHERE APPLICABLE</t>
    </r>
  </si>
  <si>
    <r>
      <t xml:space="preserve">#9: BUILDING MF-1 LEVEL 4 SIGNAGE </t>
    </r>
    <r>
      <rPr>
        <b/>
        <sz val="9"/>
        <color indexed="10"/>
        <rFont val="Gill Sans Light"/>
      </rPr>
      <t>*ADA/BRAILLE WHERE APPLICABLE</t>
    </r>
  </si>
  <si>
    <r>
      <t xml:space="preserve">#10: BUILDING MF-2 LEVEL 1 SIGNAGE </t>
    </r>
    <r>
      <rPr>
        <b/>
        <sz val="9"/>
        <color indexed="10"/>
        <rFont val="Gill Sans Light"/>
      </rPr>
      <t>*ADA/BRAILLE WHERE APPLICABLE</t>
    </r>
  </si>
  <si>
    <r>
      <t xml:space="preserve">#11: BUILDING MF-2 LEVEL 2 SIGNAGE </t>
    </r>
    <r>
      <rPr>
        <b/>
        <sz val="9"/>
        <color indexed="10"/>
        <rFont val="Gill Sans Light"/>
      </rPr>
      <t>*ADA/BRAILLE WHERE APPLICABLE</t>
    </r>
  </si>
  <si>
    <r>
      <t xml:space="preserve">#12: BUILDING MF-2 LEVEL 3 SIGNAGE </t>
    </r>
    <r>
      <rPr>
        <b/>
        <sz val="9"/>
        <color indexed="10"/>
        <rFont val="Gill Sans Light"/>
      </rPr>
      <t>*ADA/BRAILLE WHERE APPLICABLE</t>
    </r>
  </si>
  <si>
    <t>PAGE 4</t>
  </si>
  <si>
    <r>
      <t xml:space="preserve">#13: BUILDING MF-2 LEVEL 4 SIGNAGE </t>
    </r>
    <r>
      <rPr>
        <b/>
        <sz val="9"/>
        <color indexed="10"/>
        <rFont val="Gill Sans Light"/>
      </rPr>
      <t>*ADA/BRAILLE WHERE APPLICABLE</t>
    </r>
  </si>
  <si>
    <t>DOG PARK ID / POLICY</t>
  </si>
  <si>
    <t>PAGE 5</t>
  </si>
  <si>
    <t>LEASING CENTER ID - DIMENSIONAL LETTERS ON RAIL</t>
  </si>
  <si>
    <t>FRONT LOADS TO FASCIA OVER LEASING ENTRY</t>
  </si>
  <si>
    <t xml:space="preserve">ADDRESS ID - INDIVIDUAL NUMERALS </t>
  </si>
  <si>
    <t>FACING PERSIMMON DR. ON BLDG 1</t>
  </si>
  <si>
    <t>LEASING ID (X1 W/ MAX OCC)</t>
  </si>
  <si>
    <t>CLUB ROOM ID (W/ MAX OCC)</t>
  </si>
  <si>
    <t>FITNESS ID (W/ MAX OCC)</t>
  </si>
  <si>
    <t>PAGE 6</t>
  </si>
  <si>
    <t>BUILDING ACCESS ID</t>
  </si>
  <si>
    <t>FIRE DOOR / DO NOT BLOCK</t>
  </si>
  <si>
    <t>IDF ID</t>
  </si>
  <si>
    <t>MAINTENANCE ID</t>
  </si>
  <si>
    <t>MECHANICAL ID (X1 @ CLUB)</t>
  </si>
  <si>
    <t>MECHANICAL ID</t>
  </si>
  <si>
    <t>UNIT DOOR NUMBERS (X19@ EACH LEVEL)</t>
  </si>
  <si>
    <r>
      <t xml:space="preserve">#15: AMENITY SIGNAGE </t>
    </r>
    <r>
      <rPr>
        <b/>
        <sz val="9"/>
        <color indexed="10"/>
        <rFont val="Gill Sans Light"/>
      </rPr>
      <t>*ADA/BRAILLE WHERE APPLICABLE</t>
    </r>
  </si>
  <si>
    <t>10.13.22</t>
  </si>
  <si>
    <t>TOWNHOME UNIT DOOR NUMBERS at 4"</t>
  </si>
  <si>
    <t>*STRUCTURE AND UPLIGHTING IN LANDSCAPE BY OTHERS*</t>
  </si>
  <si>
    <t>FSRR (4")</t>
  </si>
  <si>
    <r>
      <t xml:space="preserve">#14: BUILDING MF-3 SIGNAGE </t>
    </r>
    <r>
      <rPr>
        <b/>
        <sz val="9"/>
        <color indexed="10"/>
        <rFont val="Gill Sans Light"/>
      </rPr>
      <t>*ADA/BRAILLE WHERE APPLICABLE</t>
    </r>
  </si>
  <si>
    <t>REV 1</t>
  </si>
  <si>
    <t>CUSTOM EV CHARGING SIGN - POLE MOUNT</t>
  </si>
  <si>
    <t>(PER CLIENT MARK-UPS) (FINAL DESIGN TBD)</t>
  </si>
  <si>
    <t>SINGLE FACE MONUMENT LOCATED AT SECONDARY ENTRANCE</t>
  </si>
  <si>
    <r>
      <t xml:space="preserve">#3: LEASING CENTER - INTERIOR SIGNAGE CONT. </t>
    </r>
    <r>
      <rPr>
        <b/>
        <sz val="9"/>
        <color indexed="10"/>
        <rFont val="Gill Sans Light"/>
      </rPr>
      <t>*ADA/BRAILLE WHERE APPLICABLE</t>
    </r>
  </si>
  <si>
    <t>SITE DIRECTORY - POST &amp; PANEL W/ DIGITALLY PRINTED SITE PLAN</t>
  </si>
  <si>
    <t>MONOLITHIC DIRECTIONAL (PER CLIENT MARK-UP)</t>
  </si>
  <si>
    <t>INCLUDES ADDRESS W/ DIMENSIONAL GRAPHICS (PER L4.02)</t>
  </si>
  <si>
    <t>DOUBLE FACE MONUMENT PER LANDSCAPE L2.01.</t>
  </si>
  <si>
    <t>11.20.23</t>
  </si>
  <si>
    <t>DELIVERY / RIDESHARE PARKING SIGN - POLE MOUNT</t>
  </si>
  <si>
    <t>P.</t>
  </si>
  <si>
    <t>DESKTOP PACKAGE (PROPER ID, NO CASH, FAIR HOUSING, ON TOUR</t>
  </si>
  <si>
    <t>NO SMOKING, ETC.)</t>
  </si>
  <si>
    <t>Q.</t>
  </si>
  <si>
    <t>MAX OCCUPANCY (LOBBY, LEASE, FITNESS , CLUB)</t>
  </si>
  <si>
    <t>CARPORT ID (X2 HCP) (PER A000) ("C" - 100, 101, 102, ETC.)</t>
  </si>
  <si>
    <t>TRASH ENCLOSURE ID / POLICY / DO NOT BLOCK</t>
  </si>
  <si>
    <t>UNIT DOOR NUMBERS ("BUILDING #, FLOOR LEVEL")</t>
  </si>
  <si>
    <t>RESIDENT STORAGE ID ("S" - BUILDING #, FLOOR LEVEL, 01, 02, ETC.)</t>
  </si>
  <si>
    <t>("BUILDING #, FLOOR LEVEL")</t>
  </si>
  <si>
    <t>OUTDOOR KITCHEN POLICIES (X1 @ POOL, X1 @ POD 4 COURTYARD)</t>
  </si>
  <si>
    <t>REV 2</t>
  </si>
  <si>
    <t>11.29.23</t>
  </si>
  <si>
    <t>LOCATED AT EACH VISITOR ENTRY MEDIAN AT CALL BOXES</t>
  </si>
  <si>
    <t>FACP</t>
  </si>
  <si>
    <t>TAX (N/A SHIPPING OUT OF STATE)</t>
  </si>
  <si>
    <t>4.08.24 Rev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</si>
</sst>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2">
    <font>
      <sz val="10"/>
      <name val="Verdana"/>
    </font>
    <font>
      <sz val="10"/>
      <name val="Verdana"/>
      <family val="2"/>
    </font>
    <font>
      <sz val="8"/>
      <name val="Verdana"/>
      <family val="2"/>
    </font>
    <font>
      <sz val="10"/>
      <name val="Gill Sans Light"/>
    </font>
    <font>
      <sz val="8"/>
      <name val="Gill Sans Light"/>
    </font>
    <font>
      <sz val="9"/>
      <name val="Gill Sans Light"/>
    </font>
    <font>
      <b/>
      <sz val="9"/>
      <name val="Gill Sans Light"/>
    </font>
    <font>
      <sz val="9"/>
      <name val="Verdana"/>
      <family val="2"/>
    </font>
    <font>
      <b/>
      <sz val="9"/>
      <color indexed="10"/>
      <name val="Gill Sans Light"/>
    </font>
    <font>
      <u/>
      <sz val="9"/>
      <name val="Gill Sans Light"/>
    </font>
    <font>
      <b/>
      <sz val="8.6999999999999993"/>
      <name val="Gill Sans Light"/>
    </font>
    <font>
      <sz val="8.5"/>
      <name val="Gill Sans Light"/>
    </font>
  </fonts>
  <fills count="2">
    <fill>
      <patternFill patternType="none"/>
    </fill>
    <fill>
      <patternFill patternType="gray125"/>
    </fill>
  </fills>
  <borders count="6">
    <border>
      <left/>
      <right/>
      <top/>
      <bottom/>
      <diagonal/>
    </border>
    <border>
      <left/>
      <right/>
      <top style="dotted">
        <color indexed="64"/>
      </top>
      <bottom/>
      <diagonal/>
    </border>
    <border>
      <left/>
      <right/>
      <top/>
      <bottom style="dotted">
        <color indexed="64"/>
      </bottom>
      <diagonal/>
    </border>
    <border>
      <left/>
      <right/>
      <top style="double">
        <color indexed="64"/>
      </top>
      <bottom/>
      <diagonal/>
    </border>
    <border>
      <left/>
      <right/>
      <top/>
      <bottom style="double">
        <color indexed="64"/>
      </bottom>
      <diagonal/>
    </border>
    <border>
      <left/>
      <right/>
      <top style="thin">
        <color indexed="64"/>
      </top>
      <bottom/>
      <diagonal/>
    </border>
  </borders>
  <cellStyleXfs count="2">
    <xf numFmtId="0" fontId="0" fillId="0" borderId="0"/>
    <xf numFmtId="44" fontId="1" fillId="0" borderId="0" applyFont="0" applyFill="0" applyBorder="0" applyAlignment="0" applyProtection="0"/>
  </cellStyleXfs>
  <cellXfs count="75">
    <xf numFmtId="0" fontId="0" fillId="0" borderId="0" xfId="0"/>
    <xf numFmtId="0" fontId="3" fillId="0" borderId="0" xfId="0" applyFont="1"/>
    <xf numFmtId="0" fontId="5" fillId="0" borderId="0" xfId="0" applyFont="1"/>
    <xf numFmtId="0" fontId="6" fillId="0" borderId="0" xfId="0" applyFont="1"/>
    <xf numFmtId="0" fontId="6" fillId="0" borderId="0" xfId="0" applyFont="1" applyAlignment="1">
      <alignment horizontal="center"/>
    </xf>
    <xf numFmtId="44" fontId="5" fillId="0" borderId="0" xfId="1" applyFont="1"/>
    <xf numFmtId="0" fontId="5" fillId="0" borderId="1" xfId="0" applyFont="1" applyBorder="1"/>
    <xf numFmtId="44" fontId="5" fillId="0" borderId="1" xfId="1" applyFont="1" applyBorder="1"/>
    <xf numFmtId="0" fontId="5" fillId="0" borderId="2" xfId="0" applyFont="1" applyBorder="1"/>
    <xf numFmtId="44" fontId="5" fillId="0" borderId="2" xfId="1" applyFont="1" applyBorder="1"/>
    <xf numFmtId="0" fontId="5" fillId="0" borderId="0" xfId="0" applyFont="1" applyAlignment="1">
      <alignment horizontal="center" vertical="center"/>
    </xf>
    <xf numFmtId="0" fontId="5" fillId="0" borderId="0" xfId="0" applyFont="1" applyAlignment="1">
      <alignment horizontal="left" vertical="center"/>
    </xf>
    <xf numFmtId="0" fontId="5" fillId="0" borderId="0" xfId="0" applyFont="1" applyAlignment="1">
      <alignment horizontal="center"/>
    </xf>
    <xf numFmtId="37" fontId="5" fillId="0" borderId="0" xfId="0" quotePrefix="1" applyNumberFormat="1" applyFont="1" applyAlignment="1">
      <alignment horizontal="center"/>
    </xf>
    <xf numFmtId="39" fontId="5" fillId="0" borderId="0" xfId="0" applyNumberFormat="1" applyFont="1" applyAlignment="1">
      <alignment horizontal="center"/>
    </xf>
    <xf numFmtId="44" fontId="5" fillId="0" borderId="0" xfId="0" applyNumberFormat="1" applyFont="1"/>
    <xf numFmtId="44" fontId="5" fillId="0" borderId="0" xfId="1" applyFont="1" applyBorder="1"/>
    <xf numFmtId="44" fontId="5" fillId="0" borderId="1" xfId="0" applyNumberFormat="1" applyFont="1" applyBorder="1"/>
    <xf numFmtId="44" fontId="5" fillId="0" borderId="2" xfId="0" applyNumberFormat="1" applyFont="1" applyBorder="1"/>
    <xf numFmtId="39" fontId="5" fillId="0" borderId="0" xfId="0" applyNumberFormat="1" applyFont="1"/>
    <xf numFmtId="1" fontId="5" fillId="0" borderId="0" xfId="0" quotePrefix="1" applyNumberFormat="1" applyFont="1" applyAlignment="1">
      <alignment horizontal="center"/>
    </xf>
    <xf numFmtId="44" fontId="5" fillId="0" borderId="0" xfId="0" applyNumberFormat="1" applyFont="1" applyAlignment="1">
      <alignment horizontal="center"/>
    </xf>
    <xf numFmtId="0" fontId="5" fillId="0" borderId="0" xfId="0" applyFont="1" applyAlignment="1">
      <alignment vertical="top"/>
    </xf>
    <xf numFmtId="0" fontId="6" fillId="0" borderId="1" xfId="0" applyFont="1" applyBorder="1"/>
    <xf numFmtId="44" fontId="6" fillId="0" borderId="1" xfId="0" applyNumberFormat="1" applyFont="1" applyBorder="1"/>
    <xf numFmtId="0" fontId="6" fillId="0" borderId="2" xfId="0" applyFont="1" applyBorder="1"/>
    <xf numFmtId="44" fontId="6" fillId="0" borderId="2" xfId="0" applyNumberFormat="1" applyFont="1" applyBorder="1"/>
    <xf numFmtId="44" fontId="6" fillId="0" borderId="0" xfId="0" applyNumberFormat="1" applyFont="1"/>
    <xf numFmtId="0" fontId="5" fillId="0" borderId="1" xfId="0" applyFont="1" applyBorder="1" applyAlignment="1">
      <alignment horizontal="center"/>
    </xf>
    <xf numFmtId="0" fontId="5" fillId="0" borderId="3" xfId="0" applyFont="1" applyBorder="1"/>
    <xf numFmtId="0" fontId="5" fillId="0" borderId="4" xfId="0" applyFont="1" applyBorder="1"/>
    <xf numFmtId="0" fontId="5" fillId="0" borderId="0" xfId="0" applyFont="1" applyAlignment="1">
      <alignment horizontal="right"/>
    </xf>
    <xf numFmtId="0" fontId="6" fillId="0" borderId="0" xfId="0" applyFont="1" applyAlignment="1">
      <alignment horizontal="left" vertical="top"/>
    </xf>
    <xf numFmtId="44" fontId="6" fillId="0" borderId="0" xfId="1" applyFont="1" applyAlignment="1">
      <alignment horizontal="left" vertical="top"/>
    </xf>
    <xf numFmtId="44" fontId="6" fillId="0" borderId="0" xfId="1" applyFont="1"/>
    <xf numFmtId="0" fontId="5" fillId="0" borderId="0" xfId="0" applyFont="1" applyAlignment="1">
      <alignment horizontal="left" vertical="top"/>
    </xf>
    <xf numFmtId="0" fontId="5" fillId="0" borderId="5" xfId="0" applyFont="1" applyBorder="1"/>
    <xf numFmtId="44" fontId="5" fillId="0" borderId="0" xfId="0" applyNumberFormat="1" applyFont="1" applyAlignment="1">
      <alignment horizontal="right"/>
    </xf>
    <xf numFmtId="0" fontId="11" fillId="0" borderId="0" xfId="0" applyFont="1"/>
    <xf numFmtId="0" fontId="6" fillId="0" borderId="0" xfId="0" applyFont="1" applyAlignment="1">
      <alignment horizontal="left"/>
    </xf>
    <xf numFmtId="0" fontId="7" fillId="0" borderId="0" xfId="0" applyFont="1"/>
    <xf numFmtId="0" fontId="6" fillId="0" borderId="0" xfId="0" applyFont="1" applyAlignment="1">
      <alignment horizontal="center" vertical="center"/>
    </xf>
    <xf numFmtId="0" fontId="5" fillId="0" borderId="0" xfId="0" quotePrefix="1" applyFont="1" applyAlignment="1">
      <alignment horizontal="center"/>
    </xf>
    <xf numFmtId="44" fontId="5" fillId="0" borderId="0" xfId="1" applyFont="1" applyAlignment="1"/>
    <xf numFmtId="0" fontId="11" fillId="0" borderId="0" xfId="0" applyFont="1" applyAlignment="1">
      <alignment horizontal="left"/>
    </xf>
    <xf numFmtId="0" fontId="5" fillId="0" borderId="0" xfId="0" applyFont="1" applyAlignment="1">
      <alignment horizontal="left"/>
    </xf>
    <xf numFmtId="44" fontId="5" fillId="0" borderId="0" xfId="0" applyNumberFormat="1" applyFont="1" applyAlignment="1">
      <alignment horizontal="center" vertical="center"/>
    </xf>
    <xf numFmtId="0" fontId="6" fillId="0" borderId="0" xfId="0" applyFont="1" applyAlignment="1">
      <alignment horizontal="left" vertical="center"/>
    </xf>
    <xf numFmtId="44" fontId="6" fillId="0" borderId="0" xfId="0" applyNumberFormat="1" applyFont="1" applyAlignment="1">
      <alignment horizontal="center" vertical="center"/>
    </xf>
    <xf numFmtId="44" fontId="6" fillId="0" borderId="1" xfId="0" applyNumberFormat="1" applyFont="1" applyBorder="1" applyAlignment="1">
      <alignment horizontal="center" vertical="center"/>
    </xf>
    <xf numFmtId="0" fontId="6" fillId="0" borderId="2" xfId="0" applyFont="1" applyBorder="1" applyAlignment="1">
      <alignment horizontal="center" vertical="center"/>
    </xf>
    <xf numFmtId="0" fontId="6" fillId="0" borderId="1" xfId="0" applyFont="1" applyBorder="1" applyAlignment="1">
      <alignment horizontal="left" vertical="center"/>
    </xf>
    <xf numFmtId="0" fontId="6" fillId="0" borderId="2" xfId="0" applyFont="1" applyBorder="1" applyAlignment="1">
      <alignment horizontal="left" vertical="center"/>
    </xf>
    <xf numFmtId="0" fontId="6" fillId="0" borderId="0" xfId="0" applyFont="1" applyAlignment="1">
      <alignment horizontal="left" vertical="top" wrapText="1"/>
    </xf>
    <xf numFmtId="0" fontId="7" fillId="0" borderId="1" xfId="0" applyFont="1" applyBorder="1"/>
    <xf numFmtId="0" fontId="7" fillId="0" borderId="2" xfId="0" applyFont="1" applyBorder="1"/>
    <xf numFmtId="44" fontId="6" fillId="0" borderId="1" xfId="1" applyFont="1" applyBorder="1" applyAlignment="1">
      <alignment horizontal="center" vertical="center"/>
    </xf>
    <xf numFmtId="44" fontId="6" fillId="0" borderId="2" xfId="0" applyNumberFormat="1" applyFont="1" applyBorder="1" applyAlignment="1">
      <alignment horizontal="center" vertical="center"/>
    </xf>
    <xf numFmtId="0" fontId="10" fillId="0" borderId="1" xfId="0" applyFont="1" applyBorder="1" applyAlignment="1">
      <alignment horizontal="left" vertical="center" wrapText="1"/>
    </xf>
    <xf numFmtId="0" fontId="10" fillId="0" borderId="2" xfId="0" applyFont="1" applyBorder="1" applyAlignment="1">
      <alignment horizontal="left" vertical="center" wrapText="1"/>
    </xf>
    <xf numFmtId="44" fontId="6" fillId="0" borderId="2" xfId="1" applyFont="1" applyBorder="1" applyAlignment="1">
      <alignment horizontal="center" vertical="center"/>
    </xf>
    <xf numFmtId="0" fontId="6" fillId="0" borderId="1" xfId="0" applyFont="1" applyBorder="1" applyAlignment="1">
      <alignment horizontal="left"/>
    </xf>
    <xf numFmtId="0" fontId="6" fillId="0" borderId="2" xfId="0" applyFont="1" applyBorder="1" applyAlignment="1">
      <alignment horizontal="left"/>
    </xf>
    <xf numFmtId="44" fontId="5" fillId="0" borderId="0" xfId="0" applyNumberFormat="1" applyFont="1" applyAlignment="1">
      <alignment horizontal="center" vertical="center"/>
    </xf>
    <xf numFmtId="0" fontId="5" fillId="0" borderId="0" xfId="0" applyFont="1" applyAlignment="1">
      <alignment horizontal="left"/>
    </xf>
    <xf numFmtId="0" fontId="9" fillId="0" borderId="0" xfId="0" applyFont="1"/>
    <xf numFmtId="0" fontId="5" fillId="0" borderId="0" xfId="0" applyFont="1" applyAlignment="1">
      <alignment horizontal="left" vertical="top" wrapText="1"/>
    </xf>
    <xf numFmtId="0" fontId="5" fillId="0" borderId="5" xfId="0" applyFont="1" applyBorder="1" applyAlignment="1">
      <alignment horizontal="left"/>
    </xf>
    <xf numFmtId="0" fontId="7" fillId="0" borderId="5" xfId="0" applyFont="1" applyBorder="1" applyAlignment="1">
      <alignment horizontal="left"/>
    </xf>
    <xf numFmtId="0" fontId="7" fillId="0" borderId="0" xfId="0" applyFont="1"/>
    <xf numFmtId="44" fontId="6" fillId="0" borderId="3" xfId="1" applyFont="1" applyBorder="1" applyAlignment="1">
      <alignment horizontal="center" vertical="center"/>
    </xf>
    <xf numFmtId="0" fontId="6" fillId="0" borderId="4" xfId="0" applyFont="1" applyBorder="1" applyAlignment="1">
      <alignment horizontal="center"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0" xfId="0" applyFont="1" applyAlignment="1">
      <alignment horizontal="left" wrapText="1"/>
    </xf>
  </cellXfs>
  <cellStyles count="2">
    <cellStyle name="Currency" xfId="1" builtinId="4"/>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6"/>
  <sheetViews>
    <sheetView tabSelected="1" view="pageLayout" topLeftCell="A214" zoomScale="125" zoomScaleNormal="125" zoomScalePageLayoutView="125" workbookViewId="0">
      <selection activeCell="F11" sqref="F11"/>
    </sheetView>
  </sheetViews>
  <sheetFormatPr baseColWidth="10" defaultColWidth="10.6640625" defaultRowHeight="13"/>
  <cols>
    <col min="1" max="1" width="3" style="1" customWidth="1"/>
    <col min="2" max="2" width="7.83203125" style="1" customWidth="1"/>
    <col min="3" max="3" width="7.6640625" style="1" customWidth="1"/>
    <col min="4" max="4" width="10.6640625" style="1"/>
    <col min="5" max="5" width="7.1640625" style="1" bestFit="1" customWidth="1"/>
    <col min="6" max="6" width="21.5" style="1" customWidth="1"/>
    <col min="7" max="7" width="10.5" style="1" customWidth="1"/>
    <col min="8" max="8" width="11.5" style="1" customWidth="1"/>
    <col min="9" max="9" width="10.6640625" style="1" customWidth="1"/>
    <col min="10" max="16384" width="10.6640625" style="1"/>
  </cols>
  <sheetData>
    <row r="1" spans="1:9" s="2" customFormat="1" ht="12">
      <c r="A1" s="3" t="s">
        <v>24</v>
      </c>
      <c r="B1" s="4"/>
      <c r="D1" s="3" t="s">
        <v>57</v>
      </c>
      <c r="H1" s="5"/>
    </row>
    <row r="2" spans="1:9" s="2" customFormat="1" ht="12">
      <c r="A2" s="3"/>
      <c r="B2" s="4"/>
      <c r="D2" s="3" t="s">
        <v>58</v>
      </c>
      <c r="H2" s="5"/>
    </row>
    <row r="3" spans="1:9" s="2" customFormat="1" ht="12">
      <c r="A3" s="3"/>
      <c r="B3" s="4"/>
      <c r="D3" s="3" t="s">
        <v>59</v>
      </c>
      <c r="H3" s="5"/>
    </row>
    <row r="4" spans="1:9" s="2" customFormat="1" ht="12">
      <c r="A4" s="3"/>
      <c r="B4" s="4"/>
      <c r="D4" s="3"/>
      <c r="H4" s="5"/>
    </row>
    <row r="5" spans="1:9" s="2" customFormat="1" ht="12">
      <c r="A5" s="3" t="s">
        <v>25</v>
      </c>
      <c r="B5" s="4"/>
      <c r="D5" s="3" t="s">
        <v>60</v>
      </c>
      <c r="H5" s="5"/>
    </row>
    <row r="6" spans="1:9" s="2" customFormat="1" ht="12">
      <c r="A6" s="3"/>
      <c r="B6" s="4"/>
      <c r="D6" s="3"/>
      <c r="H6" s="5"/>
    </row>
    <row r="7" spans="1:9" s="2" customFormat="1" ht="12">
      <c r="A7" s="3" t="s">
        <v>26</v>
      </c>
      <c r="B7" s="4"/>
      <c r="D7" s="3" t="s">
        <v>61</v>
      </c>
      <c r="H7" s="5"/>
    </row>
    <row r="8" spans="1:9" s="2" customFormat="1" ht="12">
      <c r="A8" s="3"/>
      <c r="B8" s="4"/>
      <c r="D8" s="3"/>
      <c r="H8" s="5"/>
    </row>
    <row r="9" spans="1:9" s="2" customFormat="1" ht="12">
      <c r="A9" s="3" t="s">
        <v>23</v>
      </c>
      <c r="B9" s="4"/>
      <c r="D9" s="3" t="s">
        <v>121</v>
      </c>
      <c r="H9" s="5"/>
    </row>
    <row r="10" spans="1:9" s="2" customFormat="1" ht="12">
      <c r="A10" s="3"/>
      <c r="B10" s="4"/>
      <c r="D10" s="3" t="s">
        <v>135</v>
      </c>
      <c r="E10" s="3" t="s">
        <v>126</v>
      </c>
      <c r="H10" s="5"/>
    </row>
    <row r="11" spans="1:9" s="2" customFormat="1" ht="12">
      <c r="A11" s="3"/>
      <c r="B11" s="4"/>
      <c r="D11" s="3" t="s">
        <v>149</v>
      </c>
      <c r="E11" s="3" t="s">
        <v>148</v>
      </c>
      <c r="F11" s="3" t="s">
        <v>153</v>
      </c>
      <c r="H11" s="5"/>
    </row>
    <row r="12" spans="1:9" s="2" customFormat="1" ht="12">
      <c r="A12" s="3"/>
      <c r="B12" s="4"/>
      <c r="D12" s="3"/>
      <c r="H12" s="5"/>
    </row>
    <row r="13" spans="1:9" s="2" customFormat="1" ht="12">
      <c r="A13" s="3" t="s">
        <v>9</v>
      </c>
      <c r="B13" s="4"/>
      <c r="D13" s="3" t="s">
        <v>62</v>
      </c>
      <c r="H13" s="5"/>
    </row>
    <row r="14" spans="1:9" s="2" customFormat="1" ht="12">
      <c r="A14" s="51" t="s">
        <v>7</v>
      </c>
      <c r="B14" s="51"/>
      <c r="C14" s="51"/>
      <c r="D14" s="6"/>
      <c r="E14" s="6"/>
      <c r="F14" s="6"/>
      <c r="G14" s="6"/>
      <c r="H14" s="7"/>
      <c r="I14" s="49">
        <f>SUM(I17:I20)</f>
        <v>12200</v>
      </c>
    </row>
    <row r="15" spans="1:9" s="2" customFormat="1" ht="12">
      <c r="A15" s="52"/>
      <c r="B15" s="52"/>
      <c r="C15" s="52"/>
      <c r="D15" s="8"/>
      <c r="E15" s="8"/>
      <c r="F15" s="8"/>
      <c r="G15" s="8"/>
      <c r="H15" s="9"/>
      <c r="I15" s="50"/>
    </row>
    <row r="16" spans="1:9" s="2" customFormat="1" ht="12">
      <c r="A16" s="10"/>
      <c r="B16" s="10" t="s">
        <v>10</v>
      </c>
      <c r="C16" s="11" t="s">
        <v>11</v>
      </c>
      <c r="G16" s="2" t="s">
        <v>29</v>
      </c>
      <c r="H16" s="10"/>
      <c r="I16" s="10"/>
    </row>
    <row r="17" spans="1:9" s="2" customFormat="1" ht="12">
      <c r="A17" s="45" t="s">
        <v>38</v>
      </c>
      <c r="B17" s="12">
        <v>1</v>
      </c>
      <c r="C17" s="38" t="s">
        <v>134</v>
      </c>
      <c r="D17" s="38"/>
      <c r="E17" s="38"/>
      <c r="G17" s="21">
        <v>7800</v>
      </c>
      <c r="H17" s="5"/>
      <c r="I17" s="15">
        <f>G17*B17</f>
        <v>7800</v>
      </c>
    </row>
    <row r="18" spans="1:9" s="2" customFormat="1" ht="12">
      <c r="B18" s="13"/>
      <c r="C18" s="38" t="s">
        <v>133</v>
      </c>
      <c r="D18" s="38"/>
      <c r="E18" s="38"/>
      <c r="G18" s="15"/>
      <c r="H18" s="5"/>
      <c r="I18" s="5"/>
    </row>
    <row r="19" spans="1:9" s="2" customFormat="1" ht="12">
      <c r="B19" s="13"/>
      <c r="C19" s="38" t="s">
        <v>123</v>
      </c>
      <c r="D19" s="38"/>
      <c r="E19" s="38"/>
      <c r="G19" s="15"/>
      <c r="H19" s="5"/>
      <c r="I19" s="5"/>
    </row>
    <row r="20" spans="1:9" s="2" customFormat="1" ht="12">
      <c r="A20" s="2" t="s">
        <v>39</v>
      </c>
      <c r="B20" s="13">
        <v>1</v>
      </c>
      <c r="C20" s="38" t="s">
        <v>129</v>
      </c>
      <c r="D20" s="38"/>
      <c r="E20" s="38"/>
      <c r="G20" s="15">
        <v>4400</v>
      </c>
      <c r="H20" s="5"/>
      <c r="I20" s="5">
        <f>G20*B20</f>
        <v>4400</v>
      </c>
    </row>
    <row r="21" spans="1:9" s="2" customFormat="1" ht="12">
      <c r="B21" s="13"/>
      <c r="C21" s="38" t="s">
        <v>128</v>
      </c>
      <c r="D21" s="38"/>
      <c r="E21" s="38"/>
      <c r="G21" s="15"/>
      <c r="H21" s="5"/>
      <c r="I21" s="5"/>
    </row>
    <row r="22" spans="1:9" s="2" customFormat="1" ht="12">
      <c r="B22" s="13"/>
      <c r="C22" s="38" t="s">
        <v>123</v>
      </c>
      <c r="D22" s="38"/>
      <c r="E22" s="38"/>
      <c r="G22" s="15"/>
      <c r="H22" s="5"/>
      <c r="I22" s="5"/>
    </row>
    <row r="23" spans="1:9" s="2" customFormat="1" ht="12">
      <c r="B23" s="14"/>
      <c r="G23" s="15"/>
      <c r="H23" s="5"/>
      <c r="I23" s="16"/>
    </row>
    <row r="24" spans="1:9" s="2" customFormat="1" ht="12">
      <c r="A24" s="51" t="s">
        <v>8</v>
      </c>
      <c r="B24" s="61"/>
      <c r="C24" s="61"/>
      <c r="D24" s="61"/>
      <c r="E24" s="54"/>
      <c r="F24" s="6"/>
      <c r="G24" s="17"/>
      <c r="H24" s="7"/>
      <c r="I24" s="56">
        <f>SUM(I27:I38)</f>
        <v>12268</v>
      </c>
    </row>
    <row r="25" spans="1:9" s="2" customFormat="1" ht="12">
      <c r="A25" s="62"/>
      <c r="B25" s="62"/>
      <c r="C25" s="62"/>
      <c r="D25" s="62"/>
      <c r="E25" s="55"/>
      <c r="F25" s="8"/>
      <c r="G25" s="18"/>
      <c r="H25" s="9"/>
      <c r="I25" s="50"/>
    </row>
    <row r="26" spans="1:9" s="2" customFormat="1" ht="12">
      <c r="A26" s="39"/>
      <c r="B26" s="39"/>
      <c r="C26" s="39"/>
      <c r="D26" s="39"/>
      <c r="E26" s="40"/>
      <c r="G26" s="15"/>
      <c r="H26" s="16"/>
      <c r="I26" s="41"/>
    </row>
    <row r="27" spans="1:9" s="2" customFormat="1" ht="12">
      <c r="A27" s="2" t="s">
        <v>38</v>
      </c>
      <c r="B27" s="42">
        <v>1</v>
      </c>
      <c r="C27" s="2" t="s">
        <v>105</v>
      </c>
      <c r="G27" s="15">
        <v>3400</v>
      </c>
      <c r="H27" s="5"/>
      <c r="I27" s="43">
        <f>G27*B27</f>
        <v>3400</v>
      </c>
    </row>
    <row r="28" spans="1:9" s="2" customFormat="1" ht="12">
      <c r="B28" s="42"/>
      <c r="C28" s="2" t="s">
        <v>106</v>
      </c>
      <c r="G28" s="15"/>
      <c r="H28" s="5"/>
      <c r="I28" s="43"/>
    </row>
    <row r="29" spans="1:9" s="2" customFormat="1" ht="12">
      <c r="A29" s="2" t="s">
        <v>39</v>
      </c>
      <c r="B29" s="42">
        <v>1</v>
      </c>
      <c r="C29" s="2" t="s">
        <v>107</v>
      </c>
      <c r="G29" s="15">
        <v>385</v>
      </c>
      <c r="H29" s="5"/>
      <c r="I29" s="43">
        <f t="shared" ref="I29:I38" si="0">G29*B29</f>
        <v>385</v>
      </c>
    </row>
    <row r="30" spans="1:9" s="2" customFormat="1" ht="12">
      <c r="B30" s="42"/>
      <c r="C30" s="2" t="s">
        <v>108</v>
      </c>
      <c r="G30" s="15"/>
      <c r="H30" s="5"/>
      <c r="I30" s="43"/>
    </row>
    <row r="31" spans="1:9" s="2" customFormat="1" ht="12">
      <c r="A31" s="2" t="s">
        <v>40</v>
      </c>
      <c r="B31" s="42">
        <v>1</v>
      </c>
      <c r="C31" s="2" t="s">
        <v>45</v>
      </c>
      <c r="G31" s="15">
        <v>410</v>
      </c>
      <c r="H31" s="5"/>
      <c r="I31" s="43">
        <f t="shared" si="0"/>
        <v>410</v>
      </c>
    </row>
    <row r="32" spans="1:9" s="2" customFormat="1" ht="12">
      <c r="A32" s="2" t="s">
        <v>41</v>
      </c>
      <c r="B32" s="42">
        <v>1</v>
      </c>
      <c r="C32" s="45" t="s">
        <v>56</v>
      </c>
      <c r="G32" s="15">
        <v>129</v>
      </c>
      <c r="H32" s="5"/>
      <c r="I32" s="43">
        <f t="shared" si="0"/>
        <v>129</v>
      </c>
    </row>
    <row r="33" spans="1:9" s="2" customFormat="1" ht="12">
      <c r="A33" s="2" t="s">
        <v>42</v>
      </c>
      <c r="B33" s="42">
        <v>1</v>
      </c>
      <c r="C33" s="2" t="s">
        <v>46</v>
      </c>
      <c r="G33" s="15">
        <v>89</v>
      </c>
      <c r="H33" s="5"/>
      <c r="I33" s="43">
        <f t="shared" si="0"/>
        <v>89</v>
      </c>
    </row>
    <row r="34" spans="1:9" s="2" customFormat="1" ht="12">
      <c r="A34" s="2" t="s">
        <v>52</v>
      </c>
      <c r="B34" s="42">
        <v>3</v>
      </c>
      <c r="C34" s="2" t="s">
        <v>63</v>
      </c>
      <c r="G34" s="15">
        <v>715</v>
      </c>
      <c r="H34" s="5"/>
      <c r="I34" s="43">
        <f t="shared" si="0"/>
        <v>2145</v>
      </c>
    </row>
    <row r="35" spans="1:9" s="2" customFormat="1" ht="12">
      <c r="A35" s="2" t="s">
        <v>53</v>
      </c>
      <c r="B35" s="42">
        <v>2</v>
      </c>
      <c r="C35" s="2" t="s">
        <v>64</v>
      </c>
      <c r="G35" s="15">
        <v>715</v>
      </c>
      <c r="H35" s="5"/>
      <c r="I35" s="43">
        <f t="shared" si="0"/>
        <v>1430</v>
      </c>
    </row>
    <row r="36" spans="1:9" s="2" customFormat="1" ht="12">
      <c r="A36" s="2" t="s">
        <v>54</v>
      </c>
      <c r="B36" s="42">
        <v>1</v>
      </c>
      <c r="C36" s="2" t="s">
        <v>65</v>
      </c>
      <c r="G36" s="15">
        <v>595</v>
      </c>
      <c r="H36" s="5"/>
      <c r="I36" s="43">
        <f t="shared" si="0"/>
        <v>595</v>
      </c>
    </row>
    <row r="37" spans="1:9" s="2" customFormat="1" ht="12">
      <c r="A37" s="2" t="s">
        <v>55</v>
      </c>
      <c r="B37" s="42">
        <v>6</v>
      </c>
      <c r="C37" s="2" t="s">
        <v>127</v>
      </c>
      <c r="G37" s="15">
        <v>495</v>
      </c>
      <c r="H37" s="5"/>
      <c r="I37" s="43">
        <f t="shared" si="0"/>
        <v>2970</v>
      </c>
    </row>
    <row r="38" spans="1:9" s="2" customFormat="1" ht="12">
      <c r="A38" s="2" t="s">
        <v>77</v>
      </c>
      <c r="B38" s="42">
        <v>1</v>
      </c>
      <c r="C38" s="2" t="s">
        <v>136</v>
      </c>
      <c r="G38" s="15">
        <v>715</v>
      </c>
      <c r="H38" s="5"/>
      <c r="I38" s="43">
        <f t="shared" si="0"/>
        <v>715</v>
      </c>
    </row>
    <row r="39" spans="1:9" s="2" customFormat="1" ht="12">
      <c r="B39" s="12"/>
      <c r="G39" s="15"/>
      <c r="H39" s="16"/>
      <c r="I39" s="43"/>
    </row>
    <row r="40" spans="1:9" s="2" customFormat="1" ht="12">
      <c r="A40" s="51" t="s">
        <v>37</v>
      </c>
      <c r="B40" s="51"/>
      <c r="C40" s="51"/>
      <c r="D40" s="51"/>
      <c r="E40" s="51"/>
      <c r="F40" s="51"/>
      <c r="G40" s="51"/>
      <c r="H40" s="51"/>
      <c r="I40" s="49">
        <f>SUM(I43:I65)</f>
        <v>2946</v>
      </c>
    </row>
    <row r="41" spans="1:9" s="2" customFormat="1" ht="12">
      <c r="A41" s="52"/>
      <c r="B41" s="52"/>
      <c r="C41" s="52"/>
      <c r="D41" s="52"/>
      <c r="E41" s="52"/>
      <c r="F41" s="52"/>
      <c r="G41" s="52"/>
      <c r="H41" s="52"/>
      <c r="I41" s="57"/>
    </row>
    <row r="42" spans="1:9" s="2" customFormat="1" ht="12">
      <c r="B42" s="19"/>
      <c r="G42" s="5"/>
      <c r="H42" s="5"/>
    </row>
    <row r="43" spans="1:9" s="2" customFormat="1" ht="12">
      <c r="A43" s="2" t="s">
        <v>38</v>
      </c>
      <c r="B43" s="42">
        <v>1</v>
      </c>
      <c r="C43" s="2" t="s">
        <v>66</v>
      </c>
      <c r="G43" s="15">
        <v>68</v>
      </c>
      <c r="H43" s="5"/>
      <c r="I43" s="43">
        <f>G43*B43</f>
        <v>68</v>
      </c>
    </row>
    <row r="44" spans="1:9" s="2" customFormat="1" ht="12">
      <c r="A44" s="2" t="s">
        <v>39</v>
      </c>
      <c r="B44" s="42">
        <v>1</v>
      </c>
      <c r="C44" s="2" t="s">
        <v>67</v>
      </c>
      <c r="G44" s="15">
        <v>68</v>
      </c>
      <c r="H44" s="5"/>
      <c r="I44" s="43">
        <f t="shared" ref="I44:I50" si="1">G44*B44</f>
        <v>68</v>
      </c>
    </row>
    <row r="45" spans="1:9" s="2" customFormat="1" ht="12">
      <c r="A45" s="2" t="s">
        <v>40</v>
      </c>
      <c r="B45" s="42">
        <v>3</v>
      </c>
      <c r="C45" s="2" t="s">
        <v>68</v>
      </c>
      <c r="G45" s="15">
        <v>48</v>
      </c>
      <c r="H45" s="5"/>
      <c r="I45" s="43">
        <f t="shared" si="1"/>
        <v>144</v>
      </c>
    </row>
    <row r="46" spans="1:9" s="2" customFormat="1" ht="12">
      <c r="A46" s="2" t="s">
        <v>41</v>
      </c>
      <c r="B46" s="42">
        <v>2</v>
      </c>
      <c r="C46" s="45" t="s">
        <v>69</v>
      </c>
      <c r="G46" s="15">
        <v>68</v>
      </c>
      <c r="H46" s="5"/>
      <c r="I46" s="43">
        <f t="shared" si="1"/>
        <v>136</v>
      </c>
    </row>
    <row r="47" spans="1:9" s="2" customFormat="1" ht="12">
      <c r="A47" s="2" t="s">
        <v>42</v>
      </c>
      <c r="B47" s="42">
        <v>1</v>
      </c>
      <c r="C47" s="2" t="s">
        <v>70</v>
      </c>
      <c r="G47" s="15">
        <v>68</v>
      </c>
      <c r="H47" s="5"/>
      <c r="I47" s="43">
        <f t="shared" si="1"/>
        <v>68</v>
      </c>
    </row>
    <row r="48" spans="1:9" s="2" customFormat="1" ht="12">
      <c r="A48" s="2" t="s">
        <v>52</v>
      </c>
      <c r="B48" s="42">
        <v>2</v>
      </c>
      <c r="C48" s="2" t="s">
        <v>109</v>
      </c>
      <c r="G48" s="15">
        <v>78</v>
      </c>
      <c r="H48" s="5"/>
      <c r="I48" s="43">
        <f t="shared" si="1"/>
        <v>156</v>
      </c>
    </row>
    <row r="49" spans="1:9" s="2" customFormat="1" ht="12">
      <c r="A49" s="2" t="s">
        <v>53</v>
      </c>
      <c r="B49" s="42">
        <v>1</v>
      </c>
      <c r="C49" s="2" t="s">
        <v>110</v>
      </c>
      <c r="G49" s="15">
        <v>78</v>
      </c>
      <c r="H49" s="5"/>
      <c r="I49" s="43">
        <f t="shared" si="1"/>
        <v>78</v>
      </c>
    </row>
    <row r="50" spans="1:9" s="2" customFormat="1" ht="12">
      <c r="A50" s="2" t="s">
        <v>54</v>
      </c>
      <c r="B50" s="42">
        <v>1</v>
      </c>
      <c r="C50" s="2" t="s">
        <v>74</v>
      </c>
      <c r="G50" s="15">
        <v>415</v>
      </c>
      <c r="H50" s="5"/>
      <c r="I50" s="43">
        <f t="shared" si="1"/>
        <v>415</v>
      </c>
    </row>
    <row r="51" spans="1:9" s="2" customFormat="1" ht="12">
      <c r="A51" s="2" t="s">
        <v>55</v>
      </c>
      <c r="B51" s="42">
        <v>1</v>
      </c>
      <c r="C51" s="2" t="s">
        <v>71</v>
      </c>
      <c r="G51" s="15">
        <v>98</v>
      </c>
      <c r="H51" s="5"/>
      <c r="I51" s="43">
        <f>G51*B51</f>
        <v>98</v>
      </c>
    </row>
    <row r="52" spans="1:9" s="2" customFormat="1" ht="12">
      <c r="A52" s="2" t="s">
        <v>77</v>
      </c>
      <c r="B52" s="42">
        <v>1</v>
      </c>
      <c r="C52" s="2" t="s">
        <v>72</v>
      </c>
      <c r="G52" s="15">
        <v>98</v>
      </c>
      <c r="H52" s="5"/>
      <c r="I52" s="43">
        <f>G52*B52</f>
        <v>98</v>
      </c>
    </row>
    <row r="53" spans="1:9" s="2" customFormat="1" ht="12">
      <c r="A53" s="2" t="s">
        <v>78</v>
      </c>
      <c r="B53" s="42">
        <v>1</v>
      </c>
      <c r="C53" s="2" t="s">
        <v>111</v>
      </c>
      <c r="G53" s="15">
        <v>78</v>
      </c>
      <c r="H53" s="5"/>
      <c r="I53" s="43">
        <f>G53*B53</f>
        <v>78</v>
      </c>
    </row>
    <row r="54" spans="1:9" s="2" customFormat="1" ht="12">
      <c r="A54" s="11" t="s">
        <v>33</v>
      </c>
      <c r="B54" s="10"/>
      <c r="C54" s="22"/>
      <c r="D54" s="12"/>
      <c r="E54" s="31" t="s">
        <v>34</v>
      </c>
      <c r="F54" s="12" t="str">
        <f>D7</f>
        <v>2206JPI02S</v>
      </c>
      <c r="G54" s="63" t="str">
        <f>D13</f>
        <v>ANNA WATERS CREEK</v>
      </c>
      <c r="H54" s="63"/>
      <c r="I54" s="37" t="s">
        <v>35</v>
      </c>
    </row>
    <row r="55" spans="1:9" s="2" customFormat="1" ht="12">
      <c r="B55" s="42"/>
      <c r="G55" s="15"/>
      <c r="H55" s="5"/>
      <c r="I55" s="43"/>
    </row>
    <row r="56" spans="1:9" s="2" customFormat="1" ht="12">
      <c r="A56" s="51" t="s">
        <v>130</v>
      </c>
      <c r="B56" s="51"/>
      <c r="C56" s="51"/>
      <c r="D56" s="51"/>
      <c r="E56" s="51"/>
      <c r="F56" s="51"/>
      <c r="G56" s="51"/>
      <c r="H56" s="51"/>
      <c r="I56" s="49"/>
    </row>
    <row r="57" spans="1:9" s="2" customFormat="1" ht="12">
      <c r="A57" s="52"/>
      <c r="B57" s="52"/>
      <c r="C57" s="52"/>
      <c r="D57" s="52"/>
      <c r="E57" s="52"/>
      <c r="F57" s="52"/>
      <c r="G57" s="52"/>
      <c r="H57" s="52"/>
      <c r="I57" s="57"/>
    </row>
    <row r="58" spans="1:9" s="2" customFormat="1" ht="12">
      <c r="A58" s="47"/>
      <c r="B58" s="47"/>
      <c r="C58" s="47"/>
      <c r="D58" s="47"/>
      <c r="E58" s="47"/>
      <c r="F58" s="47"/>
      <c r="G58" s="47"/>
      <c r="H58" s="47"/>
      <c r="I58" s="48"/>
    </row>
    <row r="59" spans="1:9" s="2" customFormat="1" ht="12">
      <c r="A59" s="2" t="s">
        <v>79</v>
      </c>
      <c r="B59" s="42">
        <v>1</v>
      </c>
      <c r="C59" s="2" t="s">
        <v>73</v>
      </c>
      <c r="G59" s="15">
        <v>415</v>
      </c>
      <c r="H59" s="5"/>
      <c r="I59" s="43">
        <f>G59*B59</f>
        <v>415</v>
      </c>
    </row>
    <row r="60" spans="1:9" s="2" customFormat="1" ht="12">
      <c r="A60" s="2" t="s">
        <v>80</v>
      </c>
      <c r="B60" s="42">
        <v>1</v>
      </c>
      <c r="C60" s="2" t="s">
        <v>75</v>
      </c>
      <c r="G60" s="15">
        <v>68</v>
      </c>
      <c r="H60" s="5"/>
      <c r="I60" s="43">
        <f>G60*B60</f>
        <v>68</v>
      </c>
    </row>
    <row r="61" spans="1:9" s="2" customFormat="1" ht="12">
      <c r="A61" s="2" t="s">
        <v>81</v>
      </c>
      <c r="B61" s="42">
        <v>2</v>
      </c>
      <c r="C61" s="2" t="s">
        <v>117</v>
      </c>
      <c r="G61" s="15">
        <v>48</v>
      </c>
      <c r="H61" s="5"/>
      <c r="I61" s="43">
        <f>G61*B61</f>
        <v>96</v>
      </c>
    </row>
    <row r="62" spans="1:9" s="2" customFormat="1" ht="12">
      <c r="A62" s="2" t="s">
        <v>82</v>
      </c>
      <c r="B62" s="42">
        <v>1</v>
      </c>
      <c r="C62" s="2" t="s">
        <v>76</v>
      </c>
      <c r="G62" s="15">
        <v>48</v>
      </c>
      <c r="H62" s="5"/>
      <c r="I62" s="43">
        <f>G62*B62</f>
        <v>48</v>
      </c>
    </row>
    <row r="63" spans="1:9" s="2" customFormat="1" ht="12">
      <c r="A63" s="2" t="s">
        <v>137</v>
      </c>
      <c r="B63" s="42">
        <v>1</v>
      </c>
      <c r="C63" s="2" t="s">
        <v>138</v>
      </c>
      <c r="G63" s="15">
        <v>680</v>
      </c>
      <c r="H63" s="5"/>
      <c r="I63" s="43">
        <f>G63*B63</f>
        <v>680</v>
      </c>
    </row>
    <row r="64" spans="1:9" s="2" customFormat="1" ht="12">
      <c r="B64" s="42"/>
      <c r="E64" s="2" t="s">
        <v>139</v>
      </c>
      <c r="G64" s="15"/>
      <c r="H64" s="5"/>
      <c r="I64" s="43"/>
    </row>
    <row r="65" spans="1:9" s="2" customFormat="1" ht="12">
      <c r="A65" s="2" t="s">
        <v>140</v>
      </c>
      <c r="B65" s="42">
        <v>4</v>
      </c>
      <c r="C65" s="2" t="s">
        <v>141</v>
      </c>
      <c r="G65" s="15">
        <v>58</v>
      </c>
      <c r="H65" s="5"/>
      <c r="I65" s="43">
        <f>G65*B65</f>
        <v>232</v>
      </c>
    </row>
    <row r="66" spans="1:9" s="2" customFormat="1" ht="12">
      <c r="B66" s="20"/>
      <c r="G66" s="15"/>
      <c r="H66" s="5"/>
      <c r="I66" s="15"/>
    </row>
    <row r="67" spans="1:9" s="2" customFormat="1" ht="12">
      <c r="A67" s="51" t="s">
        <v>43</v>
      </c>
      <c r="B67" s="51"/>
      <c r="C67" s="51"/>
      <c r="D67" s="51"/>
      <c r="E67" s="51"/>
      <c r="F67" s="51"/>
      <c r="G67" s="51"/>
      <c r="H67" s="51"/>
      <c r="I67" s="49">
        <f>SUM(I70:I77)</f>
        <v>29837</v>
      </c>
    </row>
    <row r="68" spans="1:9" s="2" customFormat="1" ht="12">
      <c r="A68" s="52"/>
      <c r="B68" s="52"/>
      <c r="C68" s="52"/>
      <c r="D68" s="52"/>
      <c r="E68" s="52"/>
      <c r="F68" s="52"/>
      <c r="G68" s="52"/>
      <c r="H68" s="52"/>
      <c r="I68" s="57"/>
    </row>
    <row r="69" spans="1:9" s="2" customFormat="1" ht="12">
      <c r="B69" s="19"/>
      <c r="G69" s="5"/>
      <c r="H69" s="5"/>
    </row>
    <row r="70" spans="1:9" s="2" customFormat="1" ht="12">
      <c r="A70" s="2" t="s">
        <v>38</v>
      </c>
      <c r="B70" s="42">
        <v>8</v>
      </c>
      <c r="C70" s="2" t="s">
        <v>132</v>
      </c>
      <c r="G70" s="15">
        <v>895</v>
      </c>
      <c r="H70" s="5"/>
      <c r="I70" s="43">
        <f>G70*B70</f>
        <v>7160</v>
      </c>
    </row>
    <row r="71" spans="1:9" s="2" customFormat="1" ht="12">
      <c r="A71" s="2" t="s">
        <v>39</v>
      </c>
      <c r="B71" s="42">
        <v>2</v>
      </c>
      <c r="C71" s="2" t="s">
        <v>131</v>
      </c>
      <c r="G71" s="15">
        <v>2195</v>
      </c>
      <c r="H71" s="5"/>
      <c r="I71" s="43">
        <f>G71*B71</f>
        <v>4390</v>
      </c>
    </row>
    <row r="72" spans="1:9" s="2" customFormat="1" ht="12">
      <c r="B72" s="42"/>
      <c r="C72" s="2" t="s">
        <v>150</v>
      </c>
      <c r="G72" s="15"/>
      <c r="H72" s="5"/>
      <c r="I72" s="43"/>
    </row>
    <row r="73" spans="1:9" s="2" customFormat="1" ht="12">
      <c r="A73" s="2" t="s">
        <v>40</v>
      </c>
      <c r="B73" s="42">
        <v>305</v>
      </c>
      <c r="C73" s="2" t="s">
        <v>142</v>
      </c>
      <c r="G73" s="15">
        <v>32</v>
      </c>
      <c r="H73" s="5"/>
      <c r="I73" s="43">
        <f t="shared" ref="I73:I76" si="2">G73*B73</f>
        <v>9760</v>
      </c>
    </row>
    <row r="74" spans="1:9" s="2" customFormat="1" ht="12">
      <c r="A74" s="2" t="s">
        <v>41</v>
      </c>
      <c r="B74" s="42">
        <v>4</v>
      </c>
      <c r="C74" s="2" t="s">
        <v>83</v>
      </c>
      <c r="G74" s="15">
        <v>310</v>
      </c>
      <c r="H74" s="5"/>
      <c r="I74" s="43">
        <f t="shared" si="2"/>
        <v>1240</v>
      </c>
    </row>
    <row r="75" spans="1:9" s="2" customFormat="1" ht="12">
      <c r="A75" s="2" t="s">
        <v>42</v>
      </c>
      <c r="B75" s="42">
        <v>3</v>
      </c>
      <c r="C75" s="45" t="s">
        <v>143</v>
      </c>
      <c r="G75" s="15">
        <v>185</v>
      </c>
      <c r="H75" s="5"/>
      <c r="I75" s="43">
        <f t="shared" si="2"/>
        <v>555</v>
      </c>
    </row>
    <row r="76" spans="1:9" s="2" customFormat="1" ht="12">
      <c r="A76" s="2" t="s">
        <v>52</v>
      </c>
      <c r="B76" s="42">
        <v>2</v>
      </c>
      <c r="C76" s="2" t="s">
        <v>84</v>
      </c>
      <c r="G76" s="15">
        <v>110</v>
      </c>
      <c r="H76" s="5"/>
      <c r="I76" s="43">
        <f t="shared" si="2"/>
        <v>220</v>
      </c>
    </row>
    <row r="77" spans="1:9" s="2" customFormat="1" ht="12">
      <c r="A77" s="2" t="s">
        <v>53</v>
      </c>
      <c r="B77" s="42">
        <v>74</v>
      </c>
      <c r="C77" s="2" t="s">
        <v>122</v>
      </c>
      <c r="G77" s="15">
        <v>88</v>
      </c>
      <c r="H77" s="5"/>
      <c r="I77" s="43">
        <f>G77*B77</f>
        <v>6512</v>
      </c>
    </row>
    <row r="78" spans="1:9" s="2" customFormat="1" ht="12">
      <c r="B78" s="42"/>
      <c r="G78" s="15"/>
      <c r="H78" s="5"/>
      <c r="I78" s="43"/>
    </row>
    <row r="79" spans="1:9" s="2" customFormat="1" ht="12">
      <c r="A79" s="51" t="s">
        <v>85</v>
      </c>
      <c r="B79" s="51"/>
      <c r="C79" s="51"/>
      <c r="D79" s="51"/>
      <c r="E79" s="51"/>
      <c r="F79" s="51"/>
      <c r="G79" s="51"/>
      <c r="H79" s="51"/>
      <c r="I79" s="49">
        <f>SUM(I82:I90)</f>
        <v>3274</v>
      </c>
    </row>
    <row r="80" spans="1:9" s="2" customFormat="1" ht="12">
      <c r="A80" s="52"/>
      <c r="B80" s="52"/>
      <c r="C80" s="52"/>
      <c r="D80" s="52"/>
      <c r="E80" s="52"/>
      <c r="F80" s="52"/>
      <c r="G80" s="52"/>
      <c r="H80" s="52"/>
      <c r="I80" s="57"/>
    </row>
    <row r="81" spans="1:9" s="2" customFormat="1" ht="12">
      <c r="B81" s="19"/>
      <c r="G81" s="5"/>
      <c r="H81" s="5"/>
    </row>
    <row r="82" spans="1:9" s="2" customFormat="1" ht="12">
      <c r="A82" s="2" t="s">
        <v>38</v>
      </c>
      <c r="B82" s="42">
        <v>5</v>
      </c>
      <c r="C82" s="2" t="s">
        <v>86</v>
      </c>
      <c r="G82" s="15">
        <v>285</v>
      </c>
      <c r="H82" s="5"/>
      <c r="I82" s="43">
        <f>G82*B82</f>
        <v>1425</v>
      </c>
    </row>
    <row r="83" spans="1:9" s="2" customFormat="1" ht="12">
      <c r="A83" s="2" t="s">
        <v>39</v>
      </c>
      <c r="B83" s="12">
        <v>1</v>
      </c>
      <c r="C83" s="2" t="s">
        <v>113</v>
      </c>
      <c r="G83" s="15">
        <v>48</v>
      </c>
      <c r="I83" s="15">
        <f>G83*B83</f>
        <v>48</v>
      </c>
    </row>
    <row r="84" spans="1:9" s="2" customFormat="1" ht="12">
      <c r="A84" s="2" t="s">
        <v>40</v>
      </c>
      <c r="B84" s="12">
        <v>13</v>
      </c>
      <c r="C84" s="2" t="s">
        <v>144</v>
      </c>
      <c r="G84" s="15">
        <v>48</v>
      </c>
      <c r="H84" s="5"/>
      <c r="I84" s="43">
        <f t="shared" ref="I84" si="3">G84*B84</f>
        <v>624</v>
      </c>
    </row>
    <row r="85" spans="1:9" s="2" customFormat="1" ht="12">
      <c r="A85" s="2" t="s">
        <v>41</v>
      </c>
      <c r="B85" s="42">
        <v>2</v>
      </c>
      <c r="C85" s="2" t="s">
        <v>87</v>
      </c>
      <c r="G85" s="15">
        <v>58</v>
      </c>
      <c r="H85" s="5"/>
      <c r="I85" s="43">
        <f t="shared" ref="I85:I90" si="4">G85*B85</f>
        <v>116</v>
      </c>
    </row>
    <row r="86" spans="1:9" s="2" customFormat="1" ht="12">
      <c r="A86" s="2" t="s">
        <v>42</v>
      </c>
      <c r="B86" s="42">
        <v>2</v>
      </c>
      <c r="C86" s="45" t="s">
        <v>88</v>
      </c>
      <c r="G86" s="15">
        <v>175</v>
      </c>
      <c r="I86" s="43">
        <f t="shared" si="4"/>
        <v>350</v>
      </c>
    </row>
    <row r="87" spans="1:9" s="2" customFormat="1" ht="12">
      <c r="A87" s="2" t="s">
        <v>52</v>
      </c>
      <c r="B87" s="12">
        <v>1</v>
      </c>
      <c r="C87" s="2" t="s">
        <v>91</v>
      </c>
      <c r="G87" s="15">
        <v>245</v>
      </c>
      <c r="H87" s="15"/>
      <c r="I87" s="15">
        <f t="shared" si="4"/>
        <v>245</v>
      </c>
    </row>
    <row r="88" spans="1:9" s="2" customFormat="1" ht="12">
      <c r="A88" s="2" t="s">
        <v>53</v>
      </c>
      <c r="B88" s="42">
        <v>5</v>
      </c>
      <c r="C88" s="45" t="s">
        <v>145</v>
      </c>
      <c r="G88" s="15">
        <v>48</v>
      </c>
      <c r="I88" s="43">
        <f t="shared" si="4"/>
        <v>240</v>
      </c>
    </row>
    <row r="89" spans="1:9" s="2" customFormat="1" ht="12">
      <c r="A89" s="2" t="s">
        <v>54</v>
      </c>
      <c r="B89" s="10">
        <v>2</v>
      </c>
      <c r="C89" s="22" t="s">
        <v>114</v>
      </c>
      <c r="D89" s="12"/>
      <c r="E89" s="31"/>
      <c r="F89" s="12"/>
      <c r="G89" s="46">
        <v>58</v>
      </c>
      <c r="H89" s="46"/>
      <c r="I89" s="37">
        <f t="shared" si="4"/>
        <v>116</v>
      </c>
    </row>
    <row r="90" spans="1:9" s="2" customFormat="1" ht="12">
      <c r="A90" s="2" t="s">
        <v>55</v>
      </c>
      <c r="B90" s="10">
        <v>1</v>
      </c>
      <c r="C90" s="22" t="s">
        <v>151</v>
      </c>
      <c r="D90" s="12"/>
      <c r="E90" s="31"/>
      <c r="F90" s="12"/>
      <c r="G90" s="46">
        <v>110</v>
      </c>
      <c r="H90" s="46"/>
      <c r="I90" s="37">
        <f t="shared" si="4"/>
        <v>110</v>
      </c>
    </row>
    <row r="91" spans="1:9" s="2" customFormat="1" ht="12">
      <c r="A91" s="11"/>
      <c r="B91" s="10"/>
      <c r="C91" s="22"/>
      <c r="D91" s="12"/>
      <c r="E91" s="31"/>
      <c r="F91" s="12"/>
      <c r="G91" s="46"/>
      <c r="H91" s="46"/>
      <c r="I91" s="37"/>
    </row>
    <row r="92" spans="1:9" s="2" customFormat="1" ht="12">
      <c r="A92" s="51" t="s">
        <v>89</v>
      </c>
      <c r="B92" s="51"/>
      <c r="C92" s="51"/>
      <c r="D92" s="51"/>
      <c r="E92" s="51"/>
      <c r="F92" s="51"/>
      <c r="G92" s="51"/>
      <c r="H92" s="51"/>
      <c r="I92" s="49">
        <f>SUM(I95:I104)</f>
        <v>2569</v>
      </c>
    </row>
    <row r="93" spans="1:9" s="2" customFormat="1" ht="12">
      <c r="A93" s="52"/>
      <c r="B93" s="52"/>
      <c r="C93" s="52"/>
      <c r="D93" s="52"/>
      <c r="E93" s="52"/>
      <c r="F93" s="52"/>
      <c r="G93" s="52"/>
      <c r="H93" s="52"/>
      <c r="I93" s="57"/>
    </row>
    <row r="94" spans="1:9" s="2" customFormat="1" ht="12">
      <c r="B94" s="19"/>
      <c r="G94" s="5"/>
      <c r="H94" s="5"/>
    </row>
    <row r="95" spans="1:9" s="2" customFormat="1" ht="12">
      <c r="A95" s="2" t="s">
        <v>38</v>
      </c>
      <c r="B95" s="42">
        <v>25</v>
      </c>
      <c r="C95" s="2" t="s">
        <v>144</v>
      </c>
      <c r="G95" s="15">
        <v>48</v>
      </c>
      <c r="H95" s="5"/>
      <c r="I95" s="43">
        <f>G95*B95</f>
        <v>1200</v>
      </c>
    </row>
    <row r="96" spans="1:9" s="2" customFormat="1" ht="12">
      <c r="A96" s="2" t="s">
        <v>39</v>
      </c>
      <c r="B96" s="42">
        <v>1</v>
      </c>
      <c r="C96" s="2" t="s">
        <v>92</v>
      </c>
      <c r="G96" s="15">
        <v>110</v>
      </c>
      <c r="H96" s="5"/>
      <c r="I96" s="43">
        <f>G96*B96</f>
        <v>110</v>
      </c>
    </row>
    <row r="97" spans="1:9" s="2" customFormat="1" ht="12">
      <c r="A97" s="2" t="s">
        <v>40</v>
      </c>
      <c r="B97" s="42">
        <v>3</v>
      </c>
      <c r="C97" s="2" t="s">
        <v>87</v>
      </c>
      <c r="G97" s="15">
        <v>48</v>
      </c>
      <c r="H97" s="5"/>
      <c r="I97" s="43">
        <f t="shared" ref="I97:I99" si="5">G97*B97</f>
        <v>144</v>
      </c>
    </row>
    <row r="98" spans="1:9" s="2" customFormat="1" ht="12">
      <c r="A98" s="2" t="s">
        <v>41</v>
      </c>
      <c r="B98" s="42">
        <v>3</v>
      </c>
      <c r="C98" s="44" t="s">
        <v>90</v>
      </c>
      <c r="G98" s="15">
        <v>165</v>
      </c>
      <c r="H98" s="5"/>
      <c r="I98" s="43">
        <f t="shared" si="5"/>
        <v>495</v>
      </c>
    </row>
    <row r="99" spans="1:9" s="2" customFormat="1" ht="12">
      <c r="A99" s="2" t="s">
        <v>42</v>
      </c>
      <c r="B99" s="42">
        <v>1</v>
      </c>
      <c r="C99" s="2" t="s">
        <v>91</v>
      </c>
      <c r="G99" s="15">
        <v>210</v>
      </c>
      <c r="H99" s="5"/>
      <c r="I99" s="43">
        <f t="shared" si="5"/>
        <v>210</v>
      </c>
    </row>
    <row r="100" spans="1:9" s="2" customFormat="1" ht="12">
      <c r="A100" s="2" t="s">
        <v>52</v>
      </c>
      <c r="B100" s="42">
        <v>1</v>
      </c>
      <c r="C100" s="2" t="s">
        <v>115</v>
      </c>
      <c r="G100" s="15">
        <v>48</v>
      </c>
      <c r="H100" s="5"/>
      <c r="I100" s="43">
        <f>G100*B100</f>
        <v>48</v>
      </c>
    </row>
    <row r="101" spans="1:9" s="2" customFormat="1" ht="12">
      <c r="A101" s="2" t="s">
        <v>53</v>
      </c>
      <c r="B101" s="42">
        <v>1</v>
      </c>
      <c r="C101" s="45" t="s">
        <v>145</v>
      </c>
      <c r="G101" s="15">
        <v>48</v>
      </c>
      <c r="H101" s="5"/>
      <c r="I101" s="43">
        <f>G101*B101</f>
        <v>48</v>
      </c>
    </row>
    <row r="102" spans="1:9" s="2" customFormat="1" ht="12">
      <c r="A102" s="2" t="s">
        <v>54</v>
      </c>
      <c r="B102" s="42">
        <v>2</v>
      </c>
      <c r="C102" s="2" t="s">
        <v>93</v>
      </c>
      <c r="G102" s="15">
        <v>58</v>
      </c>
      <c r="H102" s="5"/>
      <c r="I102" s="43">
        <f>G102*B102</f>
        <v>116</v>
      </c>
    </row>
    <row r="103" spans="1:9" s="2" customFormat="1" ht="12">
      <c r="A103" s="2" t="s">
        <v>55</v>
      </c>
      <c r="B103" s="42">
        <v>1</v>
      </c>
      <c r="C103" s="2" t="s">
        <v>124</v>
      </c>
      <c r="G103" s="15">
        <v>88</v>
      </c>
      <c r="H103" s="5"/>
      <c r="I103" s="43">
        <f>G103*B103</f>
        <v>88</v>
      </c>
    </row>
    <row r="104" spans="1:9" s="2" customFormat="1" ht="12">
      <c r="A104" s="2" t="s">
        <v>77</v>
      </c>
      <c r="B104" s="12">
        <v>1</v>
      </c>
      <c r="C104" s="2" t="s">
        <v>94</v>
      </c>
      <c r="G104" s="15">
        <v>110</v>
      </c>
      <c r="H104" s="15"/>
      <c r="I104" s="15">
        <f>G104*B104</f>
        <v>110</v>
      </c>
    </row>
    <row r="105" spans="1:9" s="2" customFormat="1" ht="12">
      <c r="B105" s="12"/>
      <c r="G105" s="15"/>
      <c r="H105" s="15"/>
      <c r="I105" s="15"/>
    </row>
    <row r="106" spans="1:9" s="2" customFormat="1" ht="12">
      <c r="B106" s="12"/>
      <c r="G106" s="15"/>
      <c r="H106" s="15"/>
      <c r="I106" s="15"/>
    </row>
    <row r="107" spans="1:9" s="2" customFormat="1" ht="12">
      <c r="A107" s="11" t="s">
        <v>33</v>
      </c>
      <c r="B107" s="10"/>
      <c r="C107" s="22"/>
      <c r="D107" s="12"/>
      <c r="E107" s="31" t="s">
        <v>34</v>
      </c>
      <c r="F107" s="12" t="str">
        <f>D7</f>
        <v>2206JPI02S</v>
      </c>
      <c r="G107" s="63" t="str">
        <f>D13</f>
        <v>ANNA WATERS CREEK</v>
      </c>
      <c r="H107" s="63"/>
      <c r="I107" s="37" t="s">
        <v>44</v>
      </c>
    </row>
    <row r="108" spans="1:9" s="2" customFormat="1" ht="12">
      <c r="A108" s="11"/>
      <c r="B108" s="10"/>
      <c r="D108" s="12"/>
      <c r="E108" s="31"/>
      <c r="F108" s="12"/>
      <c r="G108" s="46"/>
      <c r="H108" s="46"/>
      <c r="I108" s="43"/>
    </row>
    <row r="109" spans="1:9" s="2" customFormat="1" ht="12">
      <c r="A109" s="51" t="s">
        <v>95</v>
      </c>
      <c r="B109" s="51"/>
      <c r="C109" s="51"/>
      <c r="D109" s="51"/>
      <c r="E109" s="51"/>
      <c r="F109" s="51"/>
      <c r="G109" s="51"/>
      <c r="H109" s="51"/>
      <c r="I109" s="49">
        <f>SUM(I112:I119)</f>
        <v>2755</v>
      </c>
    </row>
    <row r="110" spans="1:9" s="2" customFormat="1" ht="12">
      <c r="A110" s="52"/>
      <c r="B110" s="52"/>
      <c r="C110" s="52"/>
      <c r="D110" s="52"/>
      <c r="E110" s="52"/>
      <c r="F110" s="52"/>
      <c r="G110" s="52"/>
      <c r="H110" s="52"/>
      <c r="I110" s="57"/>
    </row>
    <row r="111" spans="1:9" s="2" customFormat="1" ht="12">
      <c r="B111" s="19"/>
      <c r="G111" s="5"/>
      <c r="H111" s="5"/>
    </row>
    <row r="112" spans="1:9" s="2" customFormat="1" ht="12">
      <c r="A112" s="2" t="s">
        <v>38</v>
      </c>
      <c r="B112" s="42">
        <v>31</v>
      </c>
      <c r="C112" s="2" t="s">
        <v>144</v>
      </c>
      <c r="G112" s="15">
        <v>48</v>
      </c>
      <c r="H112" s="5"/>
      <c r="I112" s="43">
        <f t="shared" ref="I112" si="6">G112*B112</f>
        <v>1488</v>
      </c>
    </row>
    <row r="113" spans="1:9" s="2" customFormat="1" ht="12">
      <c r="A113" s="2" t="s">
        <v>39</v>
      </c>
      <c r="B113" s="42">
        <v>1</v>
      </c>
      <c r="C113" s="2" t="s">
        <v>92</v>
      </c>
      <c r="G113" s="15">
        <v>110</v>
      </c>
      <c r="H113" s="5"/>
      <c r="I113" s="43">
        <f t="shared" ref="I113:I119" si="7">G113*B113</f>
        <v>110</v>
      </c>
    </row>
    <row r="114" spans="1:9" s="2" customFormat="1" ht="12">
      <c r="A114" s="2" t="s">
        <v>40</v>
      </c>
      <c r="B114" s="42">
        <v>3</v>
      </c>
      <c r="C114" s="2" t="s">
        <v>87</v>
      </c>
      <c r="G114" s="15">
        <v>48</v>
      </c>
      <c r="H114" s="5"/>
      <c r="I114" s="43">
        <f t="shared" si="7"/>
        <v>144</v>
      </c>
    </row>
    <row r="115" spans="1:9" s="2" customFormat="1" ht="12">
      <c r="A115" s="2" t="s">
        <v>41</v>
      </c>
      <c r="B115" s="42">
        <v>3</v>
      </c>
      <c r="C115" s="44" t="s">
        <v>90</v>
      </c>
      <c r="G115" s="15">
        <v>165</v>
      </c>
      <c r="H115" s="5"/>
      <c r="I115" s="43">
        <f t="shared" si="7"/>
        <v>495</v>
      </c>
    </row>
    <row r="116" spans="1:9" s="2" customFormat="1" ht="12">
      <c r="A116" s="2" t="s">
        <v>42</v>
      </c>
      <c r="B116" s="42">
        <v>1</v>
      </c>
      <c r="C116" s="2" t="s">
        <v>91</v>
      </c>
      <c r="G116" s="15">
        <v>210</v>
      </c>
      <c r="H116" s="5"/>
      <c r="I116" s="43">
        <f t="shared" si="7"/>
        <v>210</v>
      </c>
    </row>
    <row r="117" spans="1:9" s="2" customFormat="1" ht="12">
      <c r="A117" s="2" t="s">
        <v>52</v>
      </c>
      <c r="B117" s="42">
        <v>1</v>
      </c>
      <c r="C117" s="2" t="s">
        <v>115</v>
      </c>
      <c r="G117" s="15">
        <v>48</v>
      </c>
      <c r="H117" s="5"/>
      <c r="I117" s="43">
        <f t="shared" si="7"/>
        <v>48</v>
      </c>
    </row>
    <row r="118" spans="1:9" s="2" customFormat="1" ht="12">
      <c r="A118" s="2" t="s">
        <v>53</v>
      </c>
      <c r="B118" s="12">
        <v>3</v>
      </c>
      <c r="C118" s="45" t="s">
        <v>145</v>
      </c>
      <c r="G118" s="15">
        <v>48</v>
      </c>
      <c r="H118" s="15"/>
      <c r="I118" s="15">
        <f t="shared" si="7"/>
        <v>144</v>
      </c>
    </row>
    <row r="119" spans="1:9" s="2" customFormat="1" ht="12">
      <c r="A119" s="2" t="s">
        <v>54</v>
      </c>
      <c r="B119" s="42">
        <v>2</v>
      </c>
      <c r="C119" s="2" t="s">
        <v>93</v>
      </c>
      <c r="G119" s="15">
        <v>58</v>
      </c>
      <c r="H119" s="5"/>
      <c r="I119" s="43">
        <f t="shared" si="7"/>
        <v>116</v>
      </c>
    </row>
    <row r="120" spans="1:9" s="2" customFormat="1" ht="12"/>
    <row r="121" spans="1:9" s="2" customFormat="1" ht="12">
      <c r="A121" s="51" t="s">
        <v>96</v>
      </c>
      <c r="B121" s="51"/>
      <c r="C121" s="51"/>
      <c r="D121" s="51"/>
      <c r="E121" s="51"/>
      <c r="F121" s="51"/>
      <c r="G121" s="51"/>
      <c r="H121" s="51"/>
      <c r="I121" s="49">
        <f>SUM(I124:I131)</f>
        <v>2755</v>
      </c>
    </row>
    <row r="122" spans="1:9" s="2" customFormat="1" ht="12">
      <c r="A122" s="52"/>
      <c r="B122" s="52"/>
      <c r="C122" s="52"/>
      <c r="D122" s="52"/>
      <c r="E122" s="52"/>
      <c r="F122" s="52"/>
      <c r="G122" s="52"/>
      <c r="H122" s="52"/>
      <c r="I122" s="57"/>
    </row>
    <row r="123" spans="1:9" s="2" customFormat="1" ht="12">
      <c r="B123" s="19"/>
      <c r="G123" s="5"/>
      <c r="H123" s="5"/>
    </row>
    <row r="124" spans="1:9" s="2" customFormat="1" ht="12">
      <c r="A124" s="2" t="s">
        <v>38</v>
      </c>
      <c r="B124" s="42">
        <v>31</v>
      </c>
      <c r="C124" s="2" t="s">
        <v>144</v>
      </c>
      <c r="G124" s="15">
        <v>48</v>
      </c>
      <c r="H124" s="5"/>
      <c r="I124" s="43">
        <f t="shared" ref="I124:I131" si="8">G124*B124</f>
        <v>1488</v>
      </c>
    </row>
    <row r="125" spans="1:9" s="2" customFormat="1" ht="12">
      <c r="A125" s="2" t="s">
        <v>39</v>
      </c>
      <c r="B125" s="42">
        <v>3</v>
      </c>
      <c r="C125" s="2" t="s">
        <v>87</v>
      </c>
      <c r="G125" s="15">
        <v>48</v>
      </c>
      <c r="H125" s="5"/>
      <c r="I125" s="43">
        <f t="shared" si="8"/>
        <v>144</v>
      </c>
    </row>
    <row r="126" spans="1:9" s="2" customFormat="1" ht="12">
      <c r="A126" s="2" t="s">
        <v>40</v>
      </c>
      <c r="B126" s="42">
        <v>3</v>
      </c>
      <c r="C126" s="44" t="s">
        <v>90</v>
      </c>
      <c r="G126" s="15">
        <v>165</v>
      </c>
      <c r="H126" s="5"/>
      <c r="I126" s="43">
        <f t="shared" si="8"/>
        <v>495</v>
      </c>
    </row>
    <row r="127" spans="1:9" s="2" customFormat="1" ht="12">
      <c r="A127" s="2" t="s">
        <v>41</v>
      </c>
      <c r="B127" s="42">
        <v>1</v>
      </c>
      <c r="C127" s="2" t="s">
        <v>91</v>
      </c>
      <c r="G127" s="15">
        <v>210</v>
      </c>
      <c r="H127" s="5"/>
      <c r="I127" s="43">
        <f t="shared" si="8"/>
        <v>210</v>
      </c>
    </row>
    <row r="128" spans="1:9" s="2" customFormat="1" ht="12">
      <c r="A128" s="2" t="s">
        <v>42</v>
      </c>
      <c r="B128" s="42">
        <v>1</v>
      </c>
      <c r="C128" s="2" t="s">
        <v>92</v>
      </c>
      <c r="G128" s="15">
        <v>110</v>
      </c>
      <c r="H128" s="5"/>
      <c r="I128" s="43">
        <f t="shared" si="8"/>
        <v>110</v>
      </c>
    </row>
    <row r="129" spans="1:9" s="2" customFormat="1" ht="12">
      <c r="A129" s="2" t="s">
        <v>52</v>
      </c>
      <c r="B129" s="42">
        <v>2</v>
      </c>
      <c r="C129" s="2" t="s">
        <v>115</v>
      </c>
      <c r="G129" s="15">
        <v>48</v>
      </c>
      <c r="H129" s="5"/>
      <c r="I129" s="43">
        <f t="shared" si="8"/>
        <v>96</v>
      </c>
    </row>
    <row r="130" spans="1:9" s="2" customFormat="1" ht="12">
      <c r="A130" s="2" t="s">
        <v>53</v>
      </c>
      <c r="B130" s="42">
        <v>2</v>
      </c>
      <c r="C130" s="45" t="s">
        <v>145</v>
      </c>
      <c r="G130" s="15">
        <v>48</v>
      </c>
      <c r="H130" s="5"/>
      <c r="I130" s="43">
        <f t="shared" si="8"/>
        <v>96</v>
      </c>
    </row>
    <row r="131" spans="1:9" s="2" customFormat="1" ht="12">
      <c r="A131" s="2" t="s">
        <v>54</v>
      </c>
      <c r="B131" s="42">
        <v>2</v>
      </c>
      <c r="C131" s="2" t="s">
        <v>93</v>
      </c>
      <c r="G131" s="15">
        <v>58</v>
      </c>
      <c r="H131" s="5"/>
      <c r="I131" s="43">
        <f t="shared" si="8"/>
        <v>116</v>
      </c>
    </row>
    <row r="132" spans="1:9" s="2" customFormat="1" ht="12">
      <c r="B132" s="42"/>
      <c r="G132" s="15"/>
      <c r="H132" s="5"/>
      <c r="I132" s="43"/>
    </row>
    <row r="133" spans="1:9" s="2" customFormat="1" ht="12">
      <c r="A133" s="51" t="s">
        <v>97</v>
      </c>
      <c r="B133" s="51"/>
      <c r="C133" s="51"/>
      <c r="D133" s="51"/>
      <c r="E133" s="51"/>
      <c r="F133" s="51"/>
      <c r="G133" s="51"/>
      <c r="H133" s="51"/>
      <c r="I133" s="49">
        <f>SUM(I136:I141)</f>
        <v>1596</v>
      </c>
    </row>
    <row r="134" spans="1:9" s="2" customFormat="1" ht="12">
      <c r="A134" s="52"/>
      <c r="B134" s="52"/>
      <c r="C134" s="52"/>
      <c r="D134" s="52"/>
      <c r="E134" s="52"/>
      <c r="F134" s="52"/>
      <c r="G134" s="52"/>
      <c r="H134" s="52"/>
      <c r="I134" s="57"/>
    </row>
    <row r="135" spans="1:9" s="2" customFormat="1" ht="12">
      <c r="B135" s="19"/>
      <c r="G135" s="5"/>
      <c r="H135" s="5"/>
    </row>
    <row r="136" spans="1:9" s="2" customFormat="1" ht="12">
      <c r="A136" s="2" t="s">
        <v>38</v>
      </c>
      <c r="B136" s="42">
        <v>18</v>
      </c>
      <c r="C136" s="2" t="s">
        <v>144</v>
      </c>
      <c r="G136" s="15">
        <v>48</v>
      </c>
      <c r="H136" s="5"/>
      <c r="I136" s="43">
        <f t="shared" ref="I136:I141" si="9">G136*B136</f>
        <v>864</v>
      </c>
    </row>
    <row r="137" spans="1:9" s="2" customFormat="1" ht="12">
      <c r="A137" s="2" t="s">
        <v>39</v>
      </c>
      <c r="B137" s="42">
        <v>2</v>
      </c>
      <c r="C137" s="2" t="s">
        <v>87</v>
      </c>
      <c r="G137" s="15">
        <v>48</v>
      </c>
      <c r="H137" s="5"/>
      <c r="I137" s="43">
        <f t="shared" si="9"/>
        <v>96</v>
      </c>
    </row>
    <row r="138" spans="1:9" s="2" customFormat="1" ht="12">
      <c r="A138" s="2" t="s">
        <v>40</v>
      </c>
      <c r="B138" s="42">
        <v>2</v>
      </c>
      <c r="C138" s="44" t="s">
        <v>90</v>
      </c>
      <c r="G138" s="15">
        <v>165</v>
      </c>
      <c r="H138" s="5"/>
      <c r="I138" s="43">
        <f t="shared" si="9"/>
        <v>330</v>
      </c>
    </row>
    <row r="139" spans="1:9" s="2" customFormat="1" ht="12">
      <c r="A139" s="2" t="s">
        <v>41</v>
      </c>
      <c r="B139" s="42">
        <v>1</v>
      </c>
      <c r="C139" s="2" t="s">
        <v>91</v>
      </c>
      <c r="G139" s="15">
        <v>210</v>
      </c>
      <c r="H139" s="5"/>
      <c r="I139" s="43">
        <f t="shared" si="9"/>
        <v>210</v>
      </c>
    </row>
    <row r="140" spans="1:9" s="2" customFormat="1" ht="12">
      <c r="A140" s="2" t="s">
        <v>42</v>
      </c>
      <c r="B140" s="42">
        <v>1</v>
      </c>
      <c r="C140" s="2" t="s">
        <v>115</v>
      </c>
      <c r="G140" s="15">
        <v>48</v>
      </c>
      <c r="H140" s="5"/>
      <c r="I140" s="43">
        <f t="shared" si="9"/>
        <v>48</v>
      </c>
    </row>
    <row r="141" spans="1:9" s="2" customFormat="1" ht="12">
      <c r="A141" s="2" t="s">
        <v>52</v>
      </c>
      <c r="B141" s="12">
        <v>1</v>
      </c>
      <c r="C141" s="45" t="s">
        <v>145</v>
      </c>
      <c r="G141" s="15">
        <v>48</v>
      </c>
      <c r="H141" s="15"/>
      <c r="I141" s="15">
        <f t="shared" si="9"/>
        <v>48</v>
      </c>
    </row>
    <row r="142" spans="1:9" s="2" customFormat="1" ht="12"/>
    <row r="143" spans="1:9" s="2" customFormat="1" ht="12">
      <c r="A143" s="51" t="s">
        <v>98</v>
      </c>
      <c r="B143" s="51"/>
      <c r="C143" s="51"/>
      <c r="D143" s="51"/>
      <c r="E143" s="51"/>
      <c r="F143" s="51"/>
      <c r="G143" s="51"/>
      <c r="H143" s="51"/>
      <c r="I143" s="49">
        <f>SUM(I146:I157)</f>
        <v>3218</v>
      </c>
    </row>
    <row r="144" spans="1:9" s="2" customFormat="1" ht="12">
      <c r="A144" s="52"/>
      <c r="B144" s="52"/>
      <c r="C144" s="52"/>
      <c r="D144" s="52"/>
      <c r="E144" s="52"/>
      <c r="F144" s="52"/>
      <c r="G144" s="52"/>
      <c r="H144" s="52"/>
      <c r="I144" s="57"/>
    </row>
    <row r="145" spans="1:9" s="2" customFormat="1" ht="12">
      <c r="B145" s="19"/>
      <c r="G145" s="5"/>
      <c r="H145" s="5"/>
    </row>
    <row r="146" spans="1:9" s="2" customFormat="1" ht="12">
      <c r="A146" s="2" t="s">
        <v>38</v>
      </c>
      <c r="B146" s="12">
        <v>4</v>
      </c>
      <c r="C146" s="2" t="s">
        <v>86</v>
      </c>
      <c r="G146" s="15">
        <v>285</v>
      </c>
      <c r="H146" s="15"/>
      <c r="I146" s="15">
        <f t="shared" ref="I146:I157" si="10">G146*B146</f>
        <v>1140</v>
      </c>
    </row>
    <row r="147" spans="1:9" s="2" customFormat="1" ht="12">
      <c r="A147" s="2" t="s">
        <v>39</v>
      </c>
      <c r="B147" s="42">
        <v>19</v>
      </c>
      <c r="C147" s="2" t="s">
        <v>144</v>
      </c>
      <c r="G147" s="15">
        <v>48</v>
      </c>
      <c r="H147" s="5"/>
      <c r="I147" s="43">
        <f t="shared" si="10"/>
        <v>912</v>
      </c>
    </row>
    <row r="148" spans="1:9" s="2" customFormat="1" ht="12">
      <c r="A148" s="2" t="s">
        <v>40</v>
      </c>
      <c r="B148" s="42">
        <v>1</v>
      </c>
      <c r="C148" s="2" t="s">
        <v>92</v>
      </c>
      <c r="G148" s="15">
        <v>78</v>
      </c>
      <c r="H148" s="5"/>
      <c r="I148" s="43">
        <f t="shared" si="10"/>
        <v>78</v>
      </c>
    </row>
    <row r="149" spans="1:9" s="2" customFormat="1" ht="12">
      <c r="A149" s="2" t="s">
        <v>41</v>
      </c>
      <c r="B149" s="42">
        <v>2</v>
      </c>
      <c r="C149" s="2" t="s">
        <v>87</v>
      </c>
      <c r="G149" s="15">
        <v>48</v>
      </c>
      <c r="H149" s="5"/>
      <c r="I149" s="43">
        <f t="shared" si="10"/>
        <v>96</v>
      </c>
    </row>
    <row r="150" spans="1:9" s="2" customFormat="1" ht="12">
      <c r="A150" s="2" t="s">
        <v>42</v>
      </c>
      <c r="B150" s="42">
        <v>2</v>
      </c>
      <c r="C150" s="44" t="s">
        <v>90</v>
      </c>
      <c r="G150" s="15">
        <v>165</v>
      </c>
      <c r="H150" s="5"/>
      <c r="I150" s="43">
        <f t="shared" si="10"/>
        <v>330</v>
      </c>
    </row>
    <row r="151" spans="1:9" s="2" customFormat="1" ht="12">
      <c r="A151" s="2" t="s">
        <v>52</v>
      </c>
      <c r="B151" s="42">
        <v>1</v>
      </c>
      <c r="C151" s="2" t="s">
        <v>91</v>
      </c>
      <c r="G151" s="15">
        <v>210</v>
      </c>
      <c r="H151" s="5"/>
      <c r="I151" s="43">
        <f t="shared" si="10"/>
        <v>210</v>
      </c>
    </row>
    <row r="152" spans="1:9" s="2" customFormat="1" ht="12">
      <c r="A152" s="2" t="s">
        <v>53</v>
      </c>
      <c r="B152" s="42">
        <v>1</v>
      </c>
      <c r="C152" s="2" t="s">
        <v>118</v>
      </c>
      <c r="G152" s="15">
        <v>48</v>
      </c>
      <c r="H152" s="5"/>
      <c r="I152" s="43">
        <f t="shared" si="10"/>
        <v>48</v>
      </c>
    </row>
    <row r="153" spans="1:9" s="2" customFormat="1" ht="12">
      <c r="A153" s="2" t="s">
        <v>54</v>
      </c>
      <c r="B153" s="12">
        <v>1</v>
      </c>
      <c r="C153" s="45" t="s">
        <v>145</v>
      </c>
      <c r="G153" s="15">
        <v>48</v>
      </c>
      <c r="H153" s="5"/>
      <c r="I153" s="43">
        <f t="shared" si="10"/>
        <v>48</v>
      </c>
    </row>
    <row r="154" spans="1:9" s="2" customFormat="1" ht="12">
      <c r="A154" s="2" t="s">
        <v>55</v>
      </c>
      <c r="B154" s="12">
        <v>1</v>
      </c>
      <c r="C154" s="2" t="s">
        <v>116</v>
      </c>
      <c r="G154" s="15">
        <v>48</v>
      </c>
      <c r="H154" s="5"/>
      <c r="I154" s="43">
        <f t="shared" si="10"/>
        <v>48</v>
      </c>
    </row>
    <row r="155" spans="1:9" s="2" customFormat="1" ht="12">
      <c r="A155" s="11" t="s">
        <v>77</v>
      </c>
      <c r="B155" s="12">
        <v>1</v>
      </c>
      <c r="C155" s="2" t="s">
        <v>124</v>
      </c>
      <c r="G155" s="15">
        <v>88</v>
      </c>
      <c r="I155" s="15">
        <f t="shared" si="10"/>
        <v>88</v>
      </c>
    </row>
    <row r="156" spans="1:9" s="2" customFormat="1" ht="12">
      <c r="A156" s="2" t="s">
        <v>78</v>
      </c>
      <c r="B156" s="42">
        <v>1</v>
      </c>
      <c r="C156" s="2" t="s">
        <v>94</v>
      </c>
      <c r="G156" s="15">
        <v>110</v>
      </c>
      <c r="H156" s="5"/>
      <c r="I156" s="43">
        <f t="shared" si="10"/>
        <v>110</v>
      </c>
    </row>
    <row r="157" spans="1:9" s="2" customFormat="1" ht="12">
      <c r="A157" s="2" t="s">
        <v>79</v>
      </c>
      <c r="B157" s="42">
        <v>1</v>
      </c>
      <c r="C157" s="2" t="s">
        <v>151</v>
      </c>
      <c r="G157" s="15">
        <v>110</v>
      </c>
      <c r="H157" s="5"/>
      <c r="I157" s="43">
        <f t="shared" si="10"/>
        <v>110</v>
      </c>
    </row>
    <row r="158" spans="1:9" s="2" customFormat="1" ht="12">
      <c r="B158" s="42"/>
      <c r="G158" s="15"/>
      <c r="H158" s="5"/>
      <c r="I158" s="43"/>
    </row>
    <row r="159" spans="1:9" s="2" customFormat="1" ht="12">
      <c r="B159" s="42"/>
      <c r="G159" s="15"/>
      <c r="H159" s="5"/>
      <c r="I159" s="43"/>
    </row>
    <row r="160" spans="1:9" s="2" customFormat="1" ht="12">
      <c r="A160" s="11" t="s">
        <v>33</v>
      </c>
      <c r="B160" s="10"/>
      <c r="C160" s="22"/>
      <c r="D160" s="12"/>
      <c r="E160" s="31" t="s">
        <v>34</v>
      </c>
      <c r="F160" s="12" t="str">
        <f>D7</f>
        <v>2206JPI02S</v>
      </c>
      <c r="G160" s="63" t="str">
        <f>D13</f>
        <v>ANNA WATERS CREEK</v>
      </c>
      <c r="H160" s="63"/>
      <c r="I160" s="37" t="s">
        <v>101</v>
      </c>
    </row>
    <row r="161" spans="1:9" s="2" customFormat="1" ht="12"/>
    <row r="162" spans="1:9" s="2" customFormat="1" ht="12">
      <c r="A162" s="51" t="s">
        <v>99</v>
      </c>
      <c r="B162" s="51"/>
      <c r="C162" s="51"/>
      <c r="D162" s="51"/>
      <c r="E162" s="51"/>
      <c r="F162" s="51"/>
      <c r="G162" s="51"/>
      <c r="H162" s="51"/>
      <c r="I162" s="49">
        <f>SUM(I165:I173)</f>
        <v>1898</v>
      </c>
    </row>
    <row r="163" spans="1:9" s="2" customFormat="1" ht="12">
      <c r="A163" s="52"/>
      <c r="B163" s="52"/>
      <c r="C163" s="52"/>
      <c r="D163" s="52"/>
      <c r="E163" s="52"/>
      <c r="F163" s="52"/>
      <c r="G163" s="52"/>
      <c r="H163" s="52"/>
      <c r="I163" s="57"/>
    </row>
    <row r="164" spans="1:9" s="2" customFormat="1" ht="12">
      <c r="B164" s="19"/>
      <c r="G164" s="5"/>
      <c r="H164" s="5"/>
    </row>
    <row r="165" spans="1:9" s="2" customFormat="1" ht="12">
      <c r="A165" s="2" t="s">
        <v>38</v>
      </c>
      <c r="B165" s="42">
        <v>19</v>
      </c>
      <c r="C165" s="2" t="s">
        <v>144</v>
      </c>
      <c r="G165" s="15">
        <v>48</v>
      </c>
      <c r="H165" s="5"/>
      <c r="I165" s="43">
        <f t="shared" ref="I165:I173" si="11">G165*B165</f>
        <v>912</v>
      </c>
    </row>
    <row r="166" spans="1:9" s="2" customFormat="1" ht="12">
      <c r="A166" s="2" t="s">
        <v>39</v>
      </c>
      <c r="B166" s="42">
        <v>1</v>
      </c>
      <c r="C166" s="2" t="s">
        <v>92</v>
      </c>
      <c r="G166" s="15">
        <v>110</v>
      </c>
      <c r="H166" s="5"/>
      <c r="I166" s="43">
        <f>G166*B166</f>
        <v>110</v>
      </c>
    </row>
    <row r="167" spans="1:9" s="2" customFormat="1" ht="12">
      <c r="A167" s="2" t="s">
        <v>40</v>
      </c>
      <c r="B167" s="42">
        <v>2</v>
      </c>
      <c r="C167" s="2" t="s">
        <v>87</v>
      </c>
      <c r="G167" s="15">
        <v>48</v>
      </c>
      <c r="H167" s="5"/>
      <c r="I167" s="43">
        <f>G167*B167</f>
        <v>96</v>
      </c>
    </row>
    <row r="168" spans="1:9" s="2" customFormat="1" ht="12">
      <c r="A168" s="2" t="s">
        <v>41</v>
      </c>
      <c r="B168" s="42">
        <v>2</v>
      </c>
      <c r="C168" s="44" t="s">
        <v>90</v>
      </c>
      <c r="G168" s="15">
        <v>165</v>
      </c>
      <c r="H168" s="5"/>
      <c r="I168" s="43">
        <f>G168*B168</f>
        <v>330</v>
      </c>
    </row>
    <row r="169" spans="1:9" s="2" customFormat="1" ht="12">
      <c r="A169" s="2" t="s">
        <v>42</v>
      </c>
      <c r="B169" s="42">
        <v>1</v>
      </c>
      <c r="C169" s="2" t="s">
        <v>91</v>
      </c>
      <c r="G169" s="15">
        <v>210</v>
      </c>
      <c r="H169" s="5"/>
      <c r="I169" s="43">
        <f>G169*B169</f>
        <v>210</v>
      </c>
    </row>
    <row r="170" spans="1:9" s="2" customFormat="1" ht="12">
      <c r="A170" s="2" t="s">
        <v>52</v>
      </c>
      <c r="B170" s="12">
        <v>1</v>
      </c>
      <c r="C170" s="2" t="s">
        <v>115</v>
      </c>
      <c r="G170" s="15">
        <v>48</v>
      </c>
      <c r="H170" s="15"/>
      <c r="I170" s="15">
        <f>G170*B170</f>
        <v>48</v>
      </c>
    </row>
    <row r="171" spans="1:9" s="2" customFormat="1" ht="12">
      <c r="A171" s="2" t="s">
        <v>53</v>
      </c>
      <c r="B171" s="42">
        <v>2</v>
      </c>
      <c r="C171" s="45" t="s">
        <v>145</v>
      </c>
      <c r="G171" s="15">
        <v>48</v>
      </c>
      <c r="H171" s="5"/>
      <c r="I171" s="43">
        <f t="shared" si="11"/>
        <v>96</v>
      </c>
    </row>
    <row r="172" spans="1:9" s="2" customFormat="1" ht="12">
      <c r="A172" s="2" t="s">
        <v>54</v>
      </c>
      <c r="B172" s="42">
        <v>1</v>
      </c>
      <c r="C172" s="2" t="s">
        <v>118</v>
      </c>
      <c r="G172" s="15">
        <v>48</v>
      </c>
      <c r="H172" s="5"/>
      <c r="I172" s="43">
        <f t="shared" si="11"/>
        <v>48</v>
      </c>
    </row>
    <row r="173" spans="1:9" s="2" customFormat="1" ht="12">
      <c r="A173" s="2" t="s">
        <v>55</v>
      </c>
      <c r="B173" s="42">
        <v>1</v>
      </c>
      <c r="C173" s="2" t="s">
        <v>116</v>
      </c>
      <c r="G173" s="15">
        <v>48</v>
      </c>
      <c r="H173" s="5"/>
      <c r="I173" s="43">
        <f t="shared" si="11"/>
        <v>48</v>
      </c>
    </row>
    <row r="174" spans="1:9" s="2" customFormat="1" ht="12">
      <c r="A174" s="11"/>
      <c r="B174" s="10"/>
      <c r="C174" s="22"/>
      <c r="D174" s="12"/>
      <c r="E174" s="31"/>
      <c r="F174" s="12"/>
      <c r="G174" s="46"/>
      <c r="H174" s="46"/>
      <c r="I174" s="43"/>
    </row>
    <row r="175" spans="1:9" s="2" customFormat="1" ht="12">
      <c r="A175" s="51" t="s">
        <v>100</v>
      </c>
      <c r="B175" s="51"/>
      <c r="C175" s="51"/>
      <c r="D175" s="51"/>
      <c r="E175" s="51"/>
      <c r="F175" s="51"/>
      <c r="G175" s="51"/>
      <c r="H175" s="51"/>
      <c r="I175" s="49">
        <f>SUM(I178:I184)</f>
        <v>1850</v>
      </c>
    </row>
    <row r="176" spans="1:9" s="2" customFormat="1" ht="12">
      <c r="A176" s="52"/>
      <c r="B176" s="52"/>
      <c r="C176" s="52"/>
      <c r="D176" s="52"/>
      <c r="E176" s="52"/>
      <c r="F176" s="52"/>
      <c r="G176" s="52"/>
      <c r="H176" s="52"/>
      <c r="I176" s="57"/>
    </row>
    <row r="177" spans="1:9" s="2" customFormat="1" ht="12">
      <c r="B177" s="19"/>
      <c r="G177" s="5"/>
      <c r="H177" s="5"/>
    </row>
    <row r="178" spans="1:9" s="2" customFormat="1" ht="12">
      <c r="A178" s="2" t="s">
        <v>38</v>
      </c>
      <c r="B178" s="42">
        <v>19</v>
      </c>
      <c r="C178" s="2" t="s">
        <v>144</v>
      </c>
      <c r="G178" s="15">
        <v>48</v>
      </c>
      <c r="H178" s="5"/>
      <c r="I178" s="43">
        <f t="shared" ref="I178:I184" si="12">G178*B178</f>
        <v>912</v>
      </c>
    </row>
    <row r="179" spans="1:9" s="2" customFormat="1" ht="12">
      <c r="A179" s="2" t="s">
        <v>39</v>
      </c>
      <c r="B179" s="42">
        <v>2</v>
      </c>
      <c r="C179" s="2" t="s">
        <v>87</v>
      </c>
      <c r="G179" s="15">
        <v>48</v>
      </c>
      <c r="H179" s="5"/>
      <c r="I179" s="43">
        <f t="shared" si="12"/>
        <v>96</v>
      </c>
    </row>
    <row r="180" spans="1:9" s="2" customFormat="1" ht="12">
      <c r="A180" s="2" t="s">
        <v>40</v>
      </c>
      <c r="B180" s="42">
        <v>2</v>
      </c>
      <c r="C180" s="44" t="s">
        <v>90</v>
      </c>
      <c r="G180" s="15">
        <v>165</v>
      </c>
      <c r="H180" s="5"/>
      <c r="I180" s="43">
        <f t="shared" si="12"/>
        <v>330</v>
      </c>
    </row>
    <row r="181" spans="1:9" s="2" customFormat="1" ht="12">
      <c r="A181" s="2" t="s">
        <v>39</v>
      </c>
      <c r="B181" s="42">
        <v>1</v>
      </c>
      <c r="C181" s="2" t="s">
        <v>91</v>
      </c>
      <c r="G181" s="15">
        <v>210</v>
      </c>
      <c r="H181" s="5"/>
      <c r="I181" s="43">
        <f t="shared" si="12"/>
        <v>210</v>
      </c>
    </row>
    <row r="182" spans="1:9" s="2" customFormat="1" ht="12">
      <c r="A182" s="2" t="s">
        <v>42</v>
      </c>
      <c r="B182" s="42">
        <v>1</v>
      </c>
      <c r="C182" s="2" t="s">
        <v>92</v>
      </c>
      <c r="G182" s="15">
        <v>110</v>
      </c>
      <c r="H182" s="5"/>
      <c r="I182" s="43">
        <f t="shared" si="12"/>
        <v>110</v>
      </c>
    </row>
    <row r="183" spans="1:9" s="2" customFormat="1" ht="12">
      <c r="A183" s="2" t="s">
        <v>52</v>
      </c>
      <c r="B183" s="42">
        <v>1</v>
      </c>
      <c r="C183" s="2" t="s">
        <v>118</v>
      </c>
      <c r="G183" s="15">
        <v>48</v>
      </c>
      <c r="H183" s="5"/>
      <c r="I183" s="43">
        <f t="shared" si="12"/>
        <v>48</v>
      </c>
    </row>
    <row r="184" spans="1:9" s="2" customFormat="1" ht="12">
      <c r="A184" s="2" t="s">
        <v>53</v>
      </c>
      <c r="B184" s="42">
        <v>3</v>
      </c>
      <c r="C184" s="45" t="s">
        <v>145</v>
      </c>
      <c r="G184" s="15">
        <v>48</v>
      </c>
      <c r="H184" s="5"/>
      <c r="I184" s="43">
        <f t="shared" si="12"/>
        <v>144</v>
      </c>
    </row>
    <row r="185" spans="1:9" s="2" customFormat="1" ht="12">
      <c r="A185" s="11"/>
      <c r="B185" s="42"/>
      <c r="G185" s="15"/>
      <c r="H185" s="5"/>
      <c r="I185" s="43"/>
    </row>
    <row r="186" spans="1:9" s="2" customFormat="1" ht="12">
      <c r="A186" s="51" t="s">
        <v>102</v>
      </c>
      <c r="B186" s="51"/>
      <c r="C186" s="51"/>
      <c r="D186" s="51"/>
      <c r="E186" s="51"/>
      <c r="F186" s="51"/>
      <c r="G186" s="51"/>
      <c r="H186" s="51"/>
      <c r="I186" s="49">
        <f>SUM(I189:I196)</f>
        <v>1898</v>
      </c>
    </row>
    <row r="187" spans="1:9" s="2" customFormat="1" ht="12">
      <c r="A187" s="52"/>
      <c r="B187" s="52"/>
      <c r="C187" s="52"/>
      <c r="D187" s="52"/>
      <c r="E187" s="52"/>
      <c r="F187" s="52"/>
      <c r="G187" s="52"/>
      <c r="H187" s="52"/>
      <c r="I187" s="57"/>
    </row>
    <row r="188" spans="1:9" s="2" customFormat="1" ht="12">
      <c r="B188" s="19"/>
      <c r="G188" s="5"/>
      <c r="H188" s="5"/>
    </row>
    <row r="189" spans="1:9" s="2" customFormat="1" ht="12">
      <c r="A189" s="2" t="s">
        <v>38</v>
      </c>
      <c r="B189" s="42">
        <v>19</v>
      </c>
      <c r="C189" s="2" t="s">
        <v>144</v>
      </c>
      <c r="G189" s="15">
        <v>48</v>
      </c>
      <c r="H189" s="5"/>
      <c r="I189" s="43">
        <f t="shared" ref="I189:I196" si="13">G189*B189</f>
        <v>912</v>
      </c>
    </row>
    <row r="190" spans="1:9" s="2" customFormat="1" ht="12">
      <c r="A190" s="2" t="s">
        <v>39</v>
      </c>
      <c r="B190" s="42">
        <v>2</v>
      </c>
      <c r="C190" s="2" t="s">
        <v>87</v>
      </c>
      <c r="G190" s="15">
        <v>48</v>
      </c>
      <c r="H190" s="5"/>
      <c r="I190" s="43">
        <f t="shared" si="13"/>
        <v>96</v>
      </c>
    </row>
    <row r="191" spans="1:9" s="2" customFormat="1" ht="12">
      <c r="A191" s="2" t="s">
        <v>40</v>
      </c>
      <c r="B191" s="42">
        <v>2</v>
      </c>
      <c r="C191" s="44" t="s">
        <v>90</v>
      </c>
      <c r="G191" s="15">
        <v>165</v>
      </c>
      <c r="H191" s="5"/>
      <c r="I191" s="43">
        <f t="shared" si="13"/>
        <v>330</v>
      </c>
    </row>
    <row r="192" spans="1:9" s="2" customFormat="1" ht="12">
      <c r="A192" s="2" t="s">
        <v>41</v>
      </c>
      <c r="B192" s="42">
        <v>1</v>
      </c>
      <c r="C192" s="2" t="s">
        <v>91</v>
      </c>
      <c r="G192" s="15">
        <v>210</v>
      </c>
      <c r="H192" s="5"/>
      <c r="I192" s="43">
        <f t="shared" si="13"/>
        <v>210</v>
      </c>
    </row>
    <row r="193" spans="1:9" s="2" customFormat="1" ht="12">
      <c r="A193" s="2" t="s">
        <v>42</v>
      </c>
      <c r="B193" s="42">
        <v>1</v>
      </c>
      <c r="C193" s="2" t="s">
        <v>92</v>
      </c>
      <c r="G193" s="15">
        <v>110</v>
      </c>
      <c r="H193" s="5"/>
      <c r="I193" s="43">
        <f t="shared" si="13"/>
        <v>110</v>
      </c>
    </row>
    <row r="194" spans="1:9" s="2" customFormat="1" ht="12">
      <c r="A194" s="2" t="s">
        <v>52</v>
      </c>
      <c r="B194" s="42">
        <v>1</v>
      </c>
      <c r="C194" s="2" t="s">
        <v>118</v>
      </c>
      <c r="G194" s="15">
        <v>48</v>
      </c>
      <c r="H194" s="5"/>
      <c r="I194" s="43">
        <f t="shared" si="13"/>
        <v>48</v>
      </c>
    </row>
    <row r="195" spans="1:9" s="2" customFormat="1" ht="12">
      <c r="A195" s="2" t="s">
        <v>53</v>
      </c>
      <c r="B195" s="42">
        <v>1</v>
      </c>
      <c r="C195" s="2" t="s">
        <v>115</v>
      </c>
      <c r="G195" s="15">
        <v>48</v>
      </c>
      <c r="H195" s="5"/>
      <c r="I195" s="43">
        <f t="shared" si="13"/>
        <v>48</v>
      </c>
    </row>
    <row r="196" spans="1:9" s="2" customFormat="1" ht="12">
      <c r="A196" s="11" t="s">
        <v>54</v>
      </c>
      <c r="B196" s="10">
        <v>3</v>
      </c>
      <c r="C196" s="45" t="s">
        <v>145</v>
      </c>
      <c r="D196" s="12"/>
      <c r="E196" s="31"/>
      <c r="F196" s="12"/>
      <c r="G196" s="46">
        <v>48</v>
      </c>
      <c r="H196" s="46"/>
      <c r="I196" s="43">
        <f t="shared" si="13"/>
        <v>144</v>
      </c>
    </row>
    <row r="197" spans="1:9" s="2" customFormat="1" ht="12">
      <c r="A197" s="11"/>
      <c r="B197" s="10"/>
      <c r="C197" s="22"/>
      <c r="D197" s="12"/>
      <c r="E197" s="31"/>
      <c r="F197" s="12"/>
      <c r="G197" s="46"/>
      <c r="H197" s="46"/>
      <c r="I197" s="43"/>
    </row>
    <row r="198" spans="1:9" s="2" customFormat="1" ht="12">
      <c r="A198" s="51" t="s">
        <v>125</v>
      </c>
      <c r="B198" s="51"/>
      <c r="C198" s="51"/>
      <c r="D198" s="51"/>
      <c r="E198" s="51"/>
      <c r="F198" s="51"/>
      <c r="G198" s="51"/>
      <c r="H198" s="51"/>
      <c r="I198" s="49">
        <f>SUM(I201:I207)</f>
        <v>4280</v>
      </c>
    </row>
    <row r="199" spans="1:9" s="2" customFormat="1" ht="12">
      <c r="A199" s="52"/>
      <c r="B199" s="52"/>
      <c r="C199" s="52"/>
      <c r="D199" s="52"/>
      <c r="E199" s="52"/>
      <c r="F199" s="52"/>
      <c r="G199" s="52"/>
      <c r="H199" s="52"/>
      <c r="I199" s="57"/>
    </row>
    <row r="200" spans="1:9" s="2" customFormat="1" ht="12">
      <c r="B200" s="19"/>
      <c r="G200" s="5"/>
      <c r="H200" s="5"/>
    </row>
    <row r="201" spans="1:9" s="2" customFormat="1" ht="12">
      <c r="A201" s="2" t="s">
        <v>38</v>
      </c>
      <c r="B201" s="12">
        <v>4</v>
      </c>
      <c r="C201" s="2" t="s">
        <v>86</v>
      </c>
      <c r="G201" s="15">
        <v>285</v>
      </c>
      <c r="H201" s="15"/>
      <c r="I201" s="15">
        <f t="shared" ref="I201:I204" si="14">G201*B201</f>
        <v>1140</v>
      </c>
    </row>
    <row r="202" spans="1:9" s="2" customFormat="1" ht="12">
      <c r="A202" s="2" t="s">
        <v>39</v>
      </c>
      <c r="B202" s="42">
        <v>57</v>
      </c>
      <c r="C202" s="2" t="s">
        <v>119</v>
      </c>
      <c r="G202" s="15">
        <v>48</v>
      </c>
      <c r="H202" s="5"/>
      <c r="I202" s="43">
        <f>G202*B202</f>
        <v>2736</v>
      </c>
    </row>
    <row r="203" spans="1:9" s="2" customFormat="1" ht="12">
      <c r="B203" s="42"/>
      <c r="E203" s="2" t="s">
        <v>146</v>
      </c>
      <c r="G203" s="15"/>
      <c r="H203" s="5"/>
      <c r="I203" s="43"/>
    </row>
    <row r="204" spans="1:9" s="2" customFormat="1" ht="12">
      <c r="A204" s="2" t="s">
        <v>40</v>
      </c>
      <c r="B204" s="42">
        <v>2</v>
      </c>
      <c r="C204" s="2" t="s">
        <v>115</v>
      </c>
      <c r="G204" s="15">
        <v>48</v>
      </c>
      <c r="H204" s="5"/>
      <c r="I204" s="43">
        <f t="shared" si="14"/>
        <v>96</v>
      </c>
    </row>
    <row r="205" spans="1:9" s="2" customFormat="1" ht="12">
      <c r="A205" s="2" t="s">
        <v>41</v>
      </c>
      <c r="B205" s="10">
        <v>1</v>
      </c>
      <c r="C205" s="22" t="s">
        <v>124</v>
      </c>
      <c r="D205" s="12"/>
      <c r="E205" s="31"/>
      <c r="F205" s="12"/>
      <c r="G205" s="46">
        <v>88</v>
      </c>
      <c r="H205" s="46"/>
      <c r="I205" s="43">
        <f>G205*B205</f>
        <v>88</v>
      </c>
    </row>
    <row r="206" spans="1:9" s="2" customFormat="1" ht="12">
      <c r="A206" s="2" t="s">
        <v>42</v>
      </c>
      <c r="B206" s="42">
        <v>1</v>
      </c>
      <c r="C206" s="2" t="s">
        <v>94</v>
      </c>
      <c r="G206" s="15">
        <v>110</v>
      </c>
      <c r="H206" s="5"/>
      <c r="I206" s="43">
        <f>G206*B206</f>
        <v>110</v>
      </c>
    </row>
    <row r="207" spans="1:9" s="2" customFormat="1" ht="12">
      <c r="A207" s="2" t="s">
        <v>52</v>
      </c>
      <c r="B207" s="42">
        <v>1</v>
      </c>
      <c r="C207" s="2" t="s">
        <v>151</v>
      </c>
      <c r="G207" s="15">
        <v>110</v>
      </c>
      <c r="H207" s="5"/>
      <c r="I207" s="43">
        <f>G207*B207</f>
        <v>110</v>
      </c>
    </row>
    <row r="208" spans="1:9" s="2" customFormat="1" ht="12">
      <c r="B208" s="42"/>
      <c r="G208" s="15"/>
      <c r="H208" s="5"/>
      <c r="I208" s="43"/>
    </row>
    <row r="209" spans="1:9" s="2" customFormat="1" ht="12">
      <c r="B209" s="42"/>
      <c r="G209" s="15"/>
      <c r="H209" s="5"/>
      <c r="I209" s="43"/>
    </row>
    <row r="210" spans="1:9" s="2" customFormat="1" ht="12">
      <c r="B210" s="42"/>
      <c r="G210" s="15"/>
      <c r="H210" s="5"/>
      <c r="I210" s="43"/>
    </row>
    <row r="211" spans="1:9" s="2" customFormat="1" ht="12">
      <c r="B211" s="42"/>
      <c r="G211" s="15"/>
      <c r="H211" s="5"/>
      <c r="I211" s="43"/>
    </row>
    <row r="212" spans="1:9" s="2" customFormat="1" ht="12">
      <c r="B212" s="42"/>
      <c r="G212" s="15"/>
      <c r="H212" s="5"/>
      <c r="I212" s="43"/>
    </row>
    <row r="213" spans="1:9" s="2" customFormat="1" ht="12">
      <c r="A213" s="11" t="s">
        <v>33</v>
      </c>
      <c r="B213" s="10"/>
      <c r="C213" s="22"/>
      <c r="D213" s="12"/>
      <c r="E213" s="31" t="s">
        <v>34</v>
      </c>
      <c r="F213" s="12" t="str">
        <f>D7</f>
        <v>2206JPI02S</v>
      </c>
      <c r="G213" s="63" t="str">
        <f>D13</f>
        <v>ANNA WATERS CREEK</v>
      </c>
      <c r="H213" s="63"/>
      <c r="I213" s="37" t="s">
        <v>104</v>
      </c>
    </row>
    <row r="214" spans="1:9" s="2" customFormat="1" ht="12"/>
    <row r="215" spans="1:9" s="2" customFormat="1" ht="12">
      <c r="A215" s="51" t="s">
        <v>120</v>
      </c>
      <c r="B215" s="51"/>
      <c r="C215" s="51"/>
      <c r="D215" s="51"/>
      <c r="E215" s="51"/>
      <c r="F215" s="51"/>
      <c r="G215" s="51"/>
      <c r="H215" s="51"/>
      <c r="I215" s="49">
        <f>SUM(I218:I224)</f>
        <v>3790</v>
      </c>
    </row>
    <row r="216" spans="1:9" s="2" customFormat="1" ht="12">
      <c r="A216" s="52"/>
      <c r="B216" s="52"/>
      <c r="C216" s="52"/>
      <c r="D216" s="52"/>
      <c r="E216" s="52"/>
      <c r="F216" s="52"/>
      <c r="G216" s="52"/>
      <c r="H216" s="52"/>
      <c r="I216" s="57"/>
    </row>
    <row r="217" spans="1:9" s="2" customFormat="1" ht="12">
      <c r="B217" s="19"/>
      <c r="G217" s="5"/>
      <c r="H217" s="5"/>
    </row>
    <row r="218" spans="1:9" s="2" customFormat="1" ht="12">
      <c r="A218" s="2" t="s">
        <v>38</v>
      </c>
      <c r="B218" s="42">
        <v>1</v>
      </c>
      <c r="C218" s="2" t="s">
        <v>47</v>
      </c>
      <c r="G218" s="15">
        <v>715</v>
      </c>
      <c r="H218" s="5"/>
      <c r="I218" s="43">
        <f>G218*B218</f>
        <v>715</v>
      </c>
    </row>
    <row r="219" spans="1:9" s="2" customFormat="1" ht="12">
      <c r="A219" s="2" t="s">
        <v>39</v>
      </c>
      <c r="B219" s="42">
        <v>1</v>
      </c>
      <c r="C219" s="2" t="s">
        <v>48</v>
      </c>
      <c r="G219" s="15">
        <v>410</v>
      </c>
      <c r="H219" s="5"/>
      <c r="I219" s="43">
        <f t="shared" ref="I219:I224" si="15">G219*B219</f>
        <v>410</v>
      </c>
    </row>
    <row r="220" spans="1:9" s="2" customFormat="1" ht="12">
      <c r="A220" s="2" t="s">
        <v>40</v>
      </c>
      <c r="B220" s="42">
        <v>1</v>
      </c>
      <c r="C220" s="2" t="s">
        <v>49</v>
      </c>
      <c r="G220" s="15">
        <v>410</v>
      </c>
      <c r="H220" s="5"/>
      <c r="I220" s="43">
        <f>G220*B220</f>
        <v>410</v>
      </c>
    </row>
    <row r="221" spans="1:9" s="2" customFormat="1" ht="12">
      <c r="A221" s="2" t="s">
        <v>41</v>
      </c>
      <c r="B221" s="42">
        <v>1</v>
      </c>
      <c r="C221" s="45" t="s">
        <v>50</v>
      </c>
      <c r="G221" s="15">
        <v>155</v>
      </c>
      <c r="H221" s="5"/>
      <c r="I221" s="43">
        <f>G221*B221</f>
        <v>155</v>
      </c>
    </row>
    <row r="222" spans="1:9" s="2" customFormat="1" ht="12">
      <c r="A222" s="2" t="s">
        <v>42</v>
      </c>
      <c r="B222" s="42">
        <v>5</v>
      </c>
      <c r="C222" s="2" t="s">
        <v>51</v>
      </c>
      <c r="G222" s="15">
        <v>155</v>
      </c>
      <c r="H222" s="5"/>
      <c r="I222" s="43">
        <f t="shared" si="15"/>
        <v>775</v>
      </c>
    </row>
    <row r="223" spans="1:9" s="2" customFormat="1" ht="12">
      <c r="A223" s="2" t="s">
        <v>52</v>
      </c>
      <c r="B223" s="42">
        <v>2</v>
      </c>
      <c r="C223" s="2" t="s">
        <v>147</v>
      </c>
      <c r="G223" s="15">
        <v>365</v>
      </c>
      <c r="H223" s="5"/>
      <c r="I223" s="43">
        <f t="shared" si="15"/>
        <v>730</v>
      </c>
    </row>
    <row r="224" spans="1:9" s="2" customFormat="1" ht="12">
      <c r="A224" s="2" t="s">
        <v>53</v>
      </c>
      <c r="B224" s="42">
        <v>1</v>
      </c>
      <c r="C224" s="2" t="s">
        <v>103</v>
      </c>
      <c r="G224" s="15">
        <v>595</v>
      </c>
      <c r="H224" s="5"/>
      <c r="I224" s="43">
        <f t="shared" si="15"/>
        <v>595</v>
      </c>
    </row>
    <row r="225" spans="2:9" s="2" customFormat="1" ht="12">
      <c r="B225" s="42"/>
      <c r="G225" s="15"/>
      <c r="H225" s="5"/>
      <c r="I225" s="43"/>
    </row>
    <row r="226" spans="2:9" s="2" customFormat="1" ht="12">
      <c r="B226" s="23" t="s">
        <v>5</v>
      </c>
      <c r="C226" s="23"/>
      <c r="D226" s="23"/>
      <c r="E226" s="23"/>
      <c r="F226" s="23"/>
      <c r="G226" s="23"/>
      <c r="H226" s="24">
        <f>I215+I198+I186+I175+I162+I143+I133+I121+I109+I92+I79+I67+I40+I24+I14</f>
        <v>87134</v>
      </c>
      <c r="I226" s="15"/>
    </row>
    <row r="227" spans="2:9" s="2" customFormat="1" ht="12">
      <c r="B227" s="25" t="s">
        <v>152</v>
      </c>
      <c r="C227" s="25"/>
      <c r="D227" s="25"/>
      <c r="E227" s="25"/>
      <c r="F227" s="25"/>
      <c r="G227" s="25"/>
      <c r="H227" s="26">
        <v>0</v>
      </c>
      <c r="I227" s="15"/>
    </row>
    <row r="228" spans="2:9" s="2" customFormat="1" ht="12">
      <c r="B228" s="3"/>
      <c r="C228" s="3"/>
      <c r="D228" s="3"/>
      <c r="E228" s="3"/>
      <c r="F228" s="3"/>
      <c r="G228" s="3"/>
      <c r="H228" s="27"/>
      <c r="I228" s="15"/>
    </row>
    <row r="229" spans="2:9" s="2" customFormat="1" ht="12" customHeight="1">
      <c r="B229" s="58" t="s">
        <v>0</v>
      </c>
      <c r="C229" s="58"/>
      <c r="D229" s="58"/>
      <c r="E229" s="58"/>
      <c r="F229" s="58"/>
      <c r="G229" s="58"/>
      <c r="H229" s="56">
        <v>680</v>
      </c>
      <c r="I229" s="15"/>
    </row>
    <row r="230" spans="2:9" s="2" customFormat="1" ht="12">
      <c r="B230" s="59"/>
      <c r="C230" s="59"/>
      <c r="D230" s="59"/>
      <c r="E230" s="59"/>
      <c r="F230" s="59"/>
      <c r="G230" s="59"/>
      <c r="H230" s="60"/>
      <c r="I230" s="15"/>
    </row>
    <row r="231" spans="2:9" s="2" customFormat="1" ht="12">
      <c r="B231" s="28"/>
      <c r="C231" s="6"/>
      <c r="D231" s="6"/>
      <c r="E231" s="6"/>
      <c r="F231" s="6"/>
      <c r="G231" s="6"/>
      <c r="H231" s="7"/>
      <c r="I231" s="15"/>
    </row>
    <row r="232" spans="2:9" s="2" customFormat="1" ht="12">
      <c r="B232" s="51" t="s">
        <v>3</v>
      </c>
      <c r="C232" s="51"/>
      <c r="D232" s="54"/>
      <c r="E232" s="6"/>
      <c r="F232" s="6"/>
      <c r="G232" s="6"/>
      <c r="H232" s="56">
        <v>14880</v>
      </c>
      <c r="I232" s="15"/>
    </row>
    <row r="233" spans="2:9" s="2" customFormat="1" ht="12">
      <c r="B233" s="52"/>
      <c r="C233" s="52"/>
      <c r="D233" s="55"/>
      <c r="E233" s="8"/>
      <c r="F233" s="8"/>
      <c r="G233" s="8"/>
      <c r="H233" s="57"/>
      <c r="I233" s="15"/>
    </row>
    <row r="234" spans="2:9" s="2" customFormat="1" ht="12">
      <c r="B234" s="12"/>
      <c r="G234" s="15"/>
      <c r="H234" s="5"/>
      <c r="I234" s="15"/>
    </row>
    <row r="235" spans="2:9" s="2" customFormat="1" ht="12">
      <c r="B235" s="66" t="s">
        <v>1</v>
      </c>
      <c r="C235" s="69"/>
      <c r="D235" s="69"/>
      <c r="E235" s="69"/>
      <c r="F235" s="69"/>
      <c r="G235" s="69"/>
      <c r="H235" s="69"/>
    </row>
    <row r="236" spans="2:9" s="2" customFormat="1" ht="12">
      <c r="B236" s="69"/>
      <c r="C236" s="69"/>
      <c r="D236" s="69"/>
      <c r="E236" s="69"/>
      <c r="F236" s="69"/>
      <c r="G236" s="69"/>
      <c r="H236" s="69"/>
    </row>
    <row r="237" spans="2:9" s="2" customFormat="1" ht="12">
      <c r="B237" s="69"/>
      <c r="C237" s="69"/>
      <c r="D237" s="69"/>
      <c r="E237" s="69"/>
      <c r="F237" s="69"/>
      <c r="G237" s="69"/>
      <c r="H237" s="69"/>
    </row>
    <row r="238" spans="2:9" s="2" customFormat="1" ht="12">
      <c r="B238" s="69"/>
      <c r="C238" s="69"/>
      <c r="D238" s="69"/>
      <c r="E238" s="69"/>
      <c r="F238" s="69"/>
      <c r="G238" s="69"/>
      <c r="H238" s="69"/>
    </row>
    <row r="239" spans="2:9" s="2" customFormat="1" ht="12">
      <c r="B239" s="69"/>
      <c r="C239" s="69"/>
      <c r="D239" s="69"/>
      <c r="E239" s="69"/>
      <c r="F239" s="69"/>
      <c r="G239" s="69"/>
      <c r="H239" s="69"/>
    </row>
    <row r="240" spans="2:9" s="2" customFormat="1" ht="12">
      <c r="B240" s="69"/>
      <c r="C240" s="69"/>
      <c r="D240" s="69"/>
      <c r="E240" s="69"/>
      <c r="F240" s="69"/>
      <c r="G240" s="69"/>
      <c r="H240" s="69"/>
    </row>
    <row r="241" spans="2:8" s="2" customFormat="1" ht="12">
      <c r="B241" s="69"/>
      <c r="C241" s="69"/>
      <c r="D241" s="69"/>
      <c r="E241" s="69"/>
      <c r="F241" s="69"/>
      <c r="G241" s="69"/>
      <c r="H241" s="69"/>
    </row>
    <row r="242" spans="2:8" s="2" customFormat="1" thickBot="1">
      <c r="B242" s="40"/>
      <c r="C242" s="40"/>
      <c r="D242" s="40"/>
      <c r="E242" s="40"/>
      <c r="F242" s="40"/>
      <c r="G242" s="40"/>
      <c r="H242" s="40"/>
    </row>
    <row r="243" spans="2:8" s="2" customFormat="1" thickTop="1">
      <c r="B243" s="72" t="s">
        <v>30</v>
      </c>
      <c r="C243" s="72"/>
      <c r="D243" s="29"/>
      <c r="E243" s="29"/>
      <c r="F243" s="29"/>
      <c r="G243" s="29"/>
      <c r="H243" s="70">
        <f>H232+H229+H227+H226</f>
        <v>102694</v>
      </c>
    </row>
    <row r="244" spans="2:8" s="2" customFormat="1" thickBot="1">
      <c r="B244" s="73"/>
      <c r="C244" s="73"/>
      <c r="D244" s="30"/>
      <c r="E244" s="30"/>
      <c r="F244" s="30"/>
      <c r="G244" s="30"/>
      <c r="H244" s="71"/>
    </row>
    <row r="245" spans="2:8" s="2" customFormat="1" thickTop="1">
      <c r="B245" s="47"/>
      <c r="C245" s="47"/>
      <c r="H245" s="41"/>
    </row>
    <row r="246" spans="2:8" s="2" customFormat="1" ht="12">
      <c r="B246" s="47"/>
      <c r="C246" s="47"/>
      <c r="H246" s="41"/>
    </row>
    <row r="247" spans="2:8" s="2" customFormat="1" ht="12">
      <c r="B247" s="47"/>
      <c r="C247" s="47"/>
      <c r="H247" s="41"/>
    </row>
    <row r="248" spans="2:8" s="2" customFormat="1" ht="12">
      <c r="B248" s="47"/>
      <c r="C248" s="47"/>
      <c r="H248" s="41"/>
    </row>
    <row r="249" spans="2:8" s="2" customFormat="1" ht="12">
      <c r="B249" s="47"/>
      <c r="C249" s="47"/>
      <c r="H249" s="41"/>
    </row>
    <row r="250" spans="2:8" s="2" customFormat="1" ht="12">
      <c r="B250" s="47"/>
      <c r="C250" s="47"/>
      <c r="H250" s="41"/>
    </row>
    <row r="251" spans="2:8" s="2" customFormat="1" ht="12">
      <c r="B251" s="47"/>
      <c r="C251" s="47"/>
      <c r="H251" s="41"/>
    </row>
    <row r="252" spans="2:8" s="2" customFormat="1" ht="12">
      <c r="B252" s="47"/>
      <c r="C252" s="47"/>
      <c r="H252" s="41"/>
    </row>
    <row r="253" spans="2:8" s="2" customFormat="1" ht="12">
      <c r="B253" s="47"/>
      <c r="C253" s="47"/>
      <c r="H253" s="41"/>
    </row>
    <row r="254" spans="2:8" s="2" customFormat="1" ht="12">
      <c r="B254" s="47"/>
      <c r="C254" s="47"/>
      <c r="H254" s="41"/>
    </row>
    <row r="255" spans="2:8" s="2" customFormat="1" ht="12">
      <c r="B255" s="47"/>
      <c r="C255" s="47"/>
      <c r="H255" s="41"/>
    </row>
    <row r="256" spans="2:8" s="2" customFormat="1" ht="12">
      <c r="B256" s="47"/>
      <c r="C256" s="47"/>
      <c r="H256" s="41"/>
    </row>
    <row r="257" spans="1:9" s="2" customFormat="1" ht="12">
      <c r="B257" s="47"/>
      <c r="C257" s="47"/>
      <c r="H257" s="41"/>
    </row>
    <row r="258" spans="1:9" s="2" customFormat="1" ht="12">
      <c r="B258" s="47"/>
      <c r="C258" s="47"/>
      <c r="H258" s="41"/>
    </row>
    <row r="259" spans="1:9" s="2" customFormat="1" ht="12">
      <c r="B259" s="47"/>
      <c r="C259" s="47"/>
      <c r="H259" s="41"/>
    </row>
    <row r="260" spans="1:9" s="2" customFormat="1" ht="12">
      <c r="B260" s="47"/>
      <c r="C260" s="47"/>
      <c r="H260" s="41"/>
    </row>
    <row r="261" spans="1:9" s="2" customFormat="1" ht="12">
      <c r="B261" s="47"/>
      <c r="C261" s="47"/>
      <c r="H261" s="41"/>
    </row>
    <row r="262" spans="1:9" s="2" customFormat="1" ht="12">
      <c r="B262" s="47"/>
      <c r="C262" s="47"/>
      <c r="H262" s="41"/>
    </row>
    <row r="263" spans="1:9" s="2" customFormat="1" ht="12">
      <c r="B263" s="47"/>
      <c r="C263" s="47"/>
      <c r="H263" s="41"/>
    </row>
    <row r="264" spans="1:9" s="2" customFormat="1" ht="12">
      <c r="B264" s="47"/>
      <c r="C264" s="47"/>
      <c r="H264" s="41"/>
    </row>
    <row r="265" spans="1:9" s="2" customFormat="1" ht="12">
      <c r="B265" s="47"/>
      <c r="C265" s="47"/>
      <c r="H265" s="41"/>
    </row>
    <row r="266" spans="1:9" s="2" customFormat="1" ht="12">
      <c r="A266" s="11" t="s">
        <v>33</v>
      </c>
      <c r="B266" s="10"/>
      <c r="C266" s="22"/>
      <c r="D266" s="12"/>
      <c r="E266" s="31" t="s">
        <v>34</v>
      </c>
      <c r="F266" s="12" t="str">
        <f>D7</f>
        <v>2206JPI02S</v>
      </c>
      <c r="G266" s="63" t="str">
        <f>D13</f>
        <v>ANNA WATERS CREEK</v>
      </c>
      <c r="H266" s="63"/>
      <c r="I266" s="37" t="s">
        <v>112</v>
      </c>
    </row>
    <row r="267" spans="1:9" s="2" customFormat="1" ht="12">
      <c r="B267" s="47"/>
      <c r="C267" s="47"/>
      <c r="H267" s="41"/>
    </row>
    <row r="268" spans="1:9" s="2" customFormat="1" ht="12">
      <c r="B268" s="31" t="s">
        <v>4</v>
      </c>
      <c r="C268" s="3" t="s">
        <v>32</v>
      </c>
    </row>
    <row r="269" spans="1:9" s="2" customFormat="1" ht="12">
      <c r="B269" s="31"/>
      <c r="C269" s="3"/>
    </row>
    <row r="270" spans="1:9" s="2" customFormat="1" ht="12">
      <c r="B270" s="31" t="s">
        <v>27</v>
      </c>
      <c r="C270" s="74" t="s">
        <v>36</v>
      </c>
      <c r="D270" s="74"/>
      <c r="E270" s="74"/>
      <c r="F270" s="74"/>
      <c r="G270" s="74"/>
      <c r="H270" s="74"/>
    </row>
    <row r="271" spans="1:9" s="2" customFormat="1" ht="12">
      <c r="B271" s="31"/>
      <c r="C271" s="74"/>
      <c r="D271" s="74"/>
      <c r="E271" s="74"/>
      <c r="F271" s="74"/>
      <c r="G271" s="74"/>
      <c r="H271" s="74"/>
    </row>
    <row r="272" spans="1:9" s="2" customFormat="1" ht="12">
      <c r="B272" s="31"/>
      <c r="H272" s="5"/>
    </row>
    <row r="273" spans="2:8" s="2" customFormat="1" ht="12">
      <c r="B273" s="31" t="s">
        <v>13</v>
      </c>
      <c r="C273" s="53" t="s">
        <v>12</v>
      </c>
      <c r="D273" s="53"/>
      <c r="E273" s="53"/>
      <c r="F273" s="53"/>
      <c r="G273" s="53"/>
      <c r="H273" s="53"/>
    </row>
    <row r="274" spans="2:8" s="2" customFormat="1" ht="12">
      <c r="B274" s="31"/>
      <c r="C274" s="53"/>
      <c r="D274" s="53"/>
      <c r="E274" s="53"/>
      <c r="F274" s="53"/>
      <c r="G274" s="53"/>
      <c r="H274" s="53"/>
    </row>
    <row r="275" spans="2:8" s="2" customFormat="1" ht="12">
      <c r="B275" s="31"/>
      <c r="C275" s="32"/>
      <c r="D275" s="32"/>
      <c r="E275" s="32"/>
      <c r="F275" s="32"/>
      <c r="G275" s="32"/>
      <c r="H275" s="33"/>
    </row>
    <row r="276" spans="2:8" s="2" customFormat="1" ht="12">
      <c r="B276" s="31" t="s">
        <v>14</v>
      </c>
      <c r="C276" s="53" t="s">
        <v>16</v>
      </c>
      <c r="D276" s="53"/>
      <c r="E276" s="53"/>
      <c r="F276" s="53"/>
      <c r="G276" s="53"/>
      <c r="H276" s="53"/>
    </row>
    <row r="277" spans="2:8" s="2" customFormat="1" ht="12">
      <c r="B277" s="31"/>
      <c r="C277" s="53"/>
      <c r="D277" s="53"/>
      <c r="E277" s="53"/>
      <c r="F277" s="53"/>
      <c r="G277" s="53"/>
      <c r="H277" s="53"/>
    </row>
    <row r="278" spans="2:8" s="2" customFormat="1" ht="12">
      <c r="B278" s="31"/>
      <c r="C278" s="3"/>
      <c r="D278" s="3"/>
      <c r="E278" s="3"/>
      <c r="F278" s="3"/>
      <c r="G278" s="3"/>
      <c r="H278" s="34"/>
    </row>
    <row r="279" spans="2:8" s="2" customFormat="1" ht="12">
      <c r="B279" s="31" t="s">
        <v>15</v>
      </c>
      <c r="C279" s="74" t="s">
        <v>18</v>
      </c>
      <c r="D279" s="74"/>
      <c r="E279" s="74"/>
      <c r="F279" s="74"/>
      <c r="G279" s="74"/>
      <c r="H279" s="74"/>
    </row>
    <row r="280" spans="2:8" s="2" customFormat="1" ht="12">
      <c r="B280" s="31"/>
      <c r="C280" s="74"/>
      <c r="D280" s="74"/>
      <c r="E280" s="74"/>
      <c r="F280" s="74"/>
      <c r="G280" s="74"/>
      <c r="H280" s="74"/>
    </row>
    <row r="281" spans="2:8" s="2" customFormat="1" ht="12">
      <c r="B281" s="31"/>
      <c r="H281" s="5"/>
    </row>
    <row r="282" spans="2:8" s="2" customFormat="1" ht="12">
      <c r="B282" s="31" t="s">
        <v>31</v>
      </c>
      <c r="C282" s="74" t="s">
        <v>6</v>
      </c>
      <c r="D282" s="74"/>
      <c r="E282" s="74"/>
      <c r="F282" s="74"/>
      <c r="G282" s="74"/>
      <c r="H282" s="74"/>
    </row>
    <row r="283" spans="2:8" s="2" customFormat="1" ht="12">
      <c r="B283" s="31"/>
      <c r="C283" s="74"/>
      <c r="D283" s="74"/>
      <c r="E283" s="74"/>
      <c r="F283" s="74"/>
      <c r="G283" s="74"/>
      <c r="H283" s="74"/>
    </row>
    <row r="284" spans="2:8" s="2" customFormat="1" ht="12">
      <c r="B284" s="12"/>
      <c r="H284" s="5"/>
    </row>
    <row r="285" spans="2:8" s="2" customFormat="1" ht="12">
      <c r="B285" s="12" t="s">
        <v>28</v>
      </c>
      <c r="C285" s="66" t="s">
        <v>2</v>
      </c>
      <c r="D285" s="66"/>
      <c r="E285" s="66"/>
      <c r="F285" s="66"/>
      <c r="G285" s="66"/>
      <c r="H285" s="66"/>
    </row>
    <row r="286" spans="2:8" s="2" customFormat="1" ht="12">
      <c r="B286" s="12"/>
      <c r="C286" s="66"/>
      <c r="D286" s="66"/>
      <c r="E286" s="66"/>
      <c r="F286" s="66"/>
      <c r="G286" s="66"/>
      <c r="H286" s="66"/>
    </row>
    <row r="287" spans="2:8" s="2" customFormat="1" ht="12">
      <c r="B287" s="12"/>
      <c r="C287" s="66"/>
      <c r="D287" s="66"/>
      <c r="E287" s="66"/>
      <c r="F287" s="66"/>
      <c r="G287" s="66"/>
      <c r="H287" s="66"/>
    </row>
    <row r="288" spans="2:8" s="2" customFormat="1" ht="12">
      <c r="B288" s="12"/>
      <c r="C288" s="66"/>
      <c r="D288" s="66"/>
      <c r="E288" s="66"/>
      <c r="F288" s="66"/>
      <c r="G288" s="66"/>
      <c r="H288" s="66"/>
    </row>
    <row r="289" spans="2:9" s="2" customFormat="1" ht="12">
      <c r="B289" s="12"/>
      <c r="C289" s="35"/>
      <c r="D289" s="35"/>
      <c r="E289" s="35"/>
      <c r="F289" s="35"/>
      <c r="G289" s="35"/>
      <c r="H289" s="35"/>
    </row>
    <row r="290" spans="2:9" s="2" customFormat="1" ht="12">
      <c r="B290" s="12"/>
      <c r="C290" s="66" t="s">
        <v>19</v>
      </c>
      <c r="D290" s="66"/>
      <c r="E290" s="66"/>
      <c r="F290" s="66"/>
      <c r="G290" s="66"/>
      <c r="H290" s="66"/>
    </row>
    <row r="291" spans="2:9" s="2" customFormat="1" ht="12">
      <c r="B291" s="12"/>
      <c r="C291" s="66"/>
      <c r="D291" s="66"/>
      <c r="E291" s="66"/>
      <c r="F291" s="66"/>
      <c r="G291" s="66"/>
      <c r="H291" s="66"/>
    </row>
    <row r="292" spans="2:9" s="2" customFormat="1" ht="12">
      <c r="B292" s="12"/>
      <c r="C292" s="66" t="s">
        <v>20</v>
      </c>
      <c r="D292" s="66"/>
      <c r="E292" s="66"/>
      <c r="F292" s="66"/>
      <c r="G292" s="66"/>
      <c r="H292" s="66"/>
    </row>
    <row r="293" spans="2:9" s="2" customFormat="1" ht="12">
      <c r="B293" s="12"/>
      <c r="C293" s="66"/>
      <c r="D293" s="66"/>
      <c r="E293" s="66"/>
      <c r="F293" s="66"/>
      <c r="G293" s="66"/>
      <c r="H293" s="66"/>
    </row>
    <row r="294" spans="2:9" s="2" customFormat="1" ht="12">
      <c r="B294" s="12"/>
      <c r="C294" s="35"/>
      <c r="D294" s="35"/>
      <c r="E294" s="35"/>
      <c r="F294" s="35"/>
      <c r="G294" s="35"/>
      <c r="H294" s="35"/>
    </row>
    <row r="295" spans="2:9" s="2" customFormat="1" ht="12">
      <c r="B295" s="12"/>
      <c r="C295" s="35"/>
      <c r="D295" s="35"/>
      <c r="E295" s="35"/>
      <c r="F295" s="35"/>
      <c r="G295" s="35"/>
      <c r="H295" s="35"/>
    </row>
    <row r="296" spans="2:9" s="2" customFormat="1" ht="12">
      <c r="B296" s="67" t="s">
        <v>21</v>
      </c>
      <c r="C296" s="67"/>
      <c r="D296" s="68"/>
      <c r="G296" s="36" t="str">
        <f>D5</f>
        <v>SAUL REYES</v>
      </c>
      <c r="H296" s="36"/>
      <c r="I296" s="36"/>
    </row>
    <row r="297" spans="2:9" s="2" customFormat="1" ht="12">
      <c r="B297" s="64" t="s">
        <v>22</v>
      </c>
      <c r="C297" s="64"/>
      <c r="D297" s="64"/>
      <c r="E297" s="69"/>
      <c r="G297" s="2" t="str">
        <f>D1</f>
        <v>JPI REALTY, INC.</v>
      </c>
    </row>
    <row r="298" spans="2:9" s="2" customFormat="1" ht="12">
      <c r="B298" s="64" t="s">
        <v>23</v>
      </c>
      <c r="C298" s="65"/>
      <c r="D298" s="65"/>
      <c r="G298" s="64" t="s">
        <v>17</v>
      </c>
      <c r="H298" s="65"/>
      <c r="I298" s="65"/>
    </row>
    <row r="301" spans="2:9" s="2" customFormat="1" ht="12">
      <c r="B301" s="12"/>
      <c r="H301" s="5"/>
    </row>
    <row r="306" spans="2:8" s="2" customFormat="1" ht="12">
      <c r="B306" s="12"/>
      <c r="H306" s="5"/>
    </row>
    <row r="307" spans="2:8" s="2" customFormat="1" ht="12">
      <c r="B307" s="12"/>
      <c r="H307" s="5"/>
    </row>
    <row r="308" spans="2:8" s="2" customFormat="1" ht="12">
      <c r="B308" s="12"/>
      <c r="H308" s="5"/>
    </row>
    <row r="309" spans="2:8" s="2" customFormat="1" ht="12">
      <c r="B309" s="12"/>
      <c r="H309" s="5"/>
    </row>
    <row r="310" spans="2:8" s="2" customFormat="1" ht="12">
      <c r="B310" s="12"/>
      <c r="H310" s="5"/>
    </row>
    <row r="311" spans="2:8" s="2" customFormat="1" ht="12"/>
    <row r="312" spans="2:8" s="2" customFormat="1" ht="12"/>
    <row r="313" spans="2:8" s="2" customFormat="1" ht="12"/>
    <row r="314" spans="2:8" s="2" customFormat="1" ht="12"/>
    <row r="315" spans="2:8" s="2" customFormat="1" ht="12"/>
    <row r="316" spans="2:8" s="2" customFormat="1" ht="12"/>
  </sheetData>
  <mergeCells count="56">
    <mergeCell ref="A56:H57"/>
    <mergeCell ref="I56:I57"/>
    <mergeCell ref="I121:I122"/>
    <mergeCell ref="A133:H134"/>
    <mergeCell ref="I133:I134"/>
    <mergeCell ref="A92:H93"/>
    <mergeCell ref="I92:I93"/>
    <mergeCell ref="G107:H107"/>
    <mergeCell ref="A109:H110"/>
    <mergeCell ref="I109:I110"/>
    <mergeCell ref="A121:H122"/>
    <mergeCell ref="A143:H144"/>
    <mergeCell ref="I143:I144"/>
    <mergeCell ref="A162:H163"/>
    <mergeCell ref="I162:I163"/>
    <mergeCell ref="A175:H176"/>
    <mergeCell ref="I175:I176"/>
    <mergeCell ref="G213:H213"/>
    <mergeCell ref="A198:H199"/>
    <mergeCell ref="I198:I199"/>
    <mergeCell ref="G160:H160"/>
    <mergeCell ref="A186:H187"/>
    <mergeCell ref="I186:I187"/>
    <mergeCell ref="A215:H216"/>
    <mergeCell ref="I215:I216"/>
    <mergeCell ref="C285:H288"/>
    <mergeCell ref="H243:H244"/>
    <mergeCell ref="B235:H241"/>
    <mergeCell ref="C273:H274"/>
    <mergeCell ref="B243:C244"/>
    <mergeCell ref="C282:H283"/>
    <mergeCell ref="C279:H280"/>
    <mergeCell ref="C270:H271"/>
    <mergeCell ref="G266:H266"/>
    <mergeCell ref="B298:D298"/>
    <mergeCell ref="G298:I298"/>
    <mergeCell ref="C290:H291"/>
    <mergeCell ref="C292:H293"/>
    <mergeCell ref="B296:D296"/>
    <mergeCell ref="B297:E297"/>
    <mergeCell ref="I14:I15"/>
    <mergeCell ref="A14:C15"/>
    <mergeCell ref="C276:H277"/>
    <mergeCell ref="B232:D233"/>
    <mergeCell ref="H232:H233"/>
    <mergeCell ref="B229:G230"/>
    <mergeCell ref="H229:H230"/>
    <mergeCell ref="A24:E25"/>
    <mergeCell ref="I24:I25"/>
    <mergeCell ref="A40:H41"/>
    <mergeCell ref="I40:I41"/>
    <mergeCell ref="G54:H54"/>
    <mergeCell ref="A67:H68"/>
    <mergeCell ref="I67:I68"/>
    <mergeCell ref="A79:H80"/>
    <mergeCell ref="I79:I80"/>
  </mergeCells>
  <phoneticPr fontId="2"/>
  <printOptions horizontalCentered="1" verticalCentered="1"/>
  <pageMargins left="0.25" right="0.25" top="1.5" bottom="0.5" header="0" footer="0.15"/>
  <pageSetup orientation="portrait" horizontalDpi="4294967292" verticalDpi="4294967292"/>
  <headerFooter alignWithMargins="0">
    <oddHeader>&amp;C&amp;K000000&amp;G</oddHeader>
    <oddFooter>&amp;L1351 Regal Row
Dallas, Texas 75247&amp;RFON 214-630-2125
FAX 214-630-2314</oddFooter>
  </headerFooter>
  <legacyDrawingHF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Normal="100" workbookViewId="0"/>
  </sheetViews>
  <sheetFormatPr baseColWidth="10" defaultRowHeight="13"/>
  <sheetData/>
  <phoneticPr fontId="4" type="noConversion"/>
  <pageMargins left="0.75" right="0.75" top="1" bottom="1" header="0.5" footer="0.5"/>
  <pageSetup orientation="portrait" horizontalDpi="4294967292" verticalDpi="429496729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Normal="100" workbookViewId="0"/>
  </sheetViews>
  <sheetFormatPr baseColWidth="10" defaultRowHeight="13"/>
  <sheetData/>
  <phoneticPr fontId="4" type="noConversion"/>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Alissa Wyatt</dc:creator>
  <cp:lastModifiedBy>Murphy Webster 3</cp:lastModifiedBy>
  <cp:lastPrinted>2023-12-11T17:48:13Z</cp:lastPrinted>
  <dcterms:created xsi:type="dcterms:W3CDTF">2008-03-19T14:06:24Z</dcterms:created>
  <dcterms:modified xsi:type="dcterms:W3CDTF">2024-04-08T22:01:45Z</dcterms:modified>
</cp:coreProperties>
</file>