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ate1904="1"/>
  <mc:AlternateContent xmlns:mc="http://schemas.openxmlformats.org/markup-compatibility/2006">
    <mc:Choice Requires="x15">
      <x15ac:absPath xmlns:x15ac="http://schemas.microsoft.com/office/spreadsheetml/2010/11/ac" url="P:\CONTRACTS\Embrey Partners\Bel Aire (Colfax &amp; Owens)\Signage\"/>
    </mc:Choice>
  </mc:AlternateContent>
  <xr:revisionPtr revIDLastSave="0" documentId="8_{351558D3-2D23-4277-A540-A4463A088777}" xr6:coauthVersionLast="47" xr6:coauthVersionMax="47" xr10:uidLastSave="{00000000-0000-0000-0000-000000000000}"/>
  <bookViews>
    <workbookView xWindow="-120" yWindow="-120" windowWidth="29040" windowHeight="15840" tabRatio="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94" i="1" l="1"/>
  <c r="H311" i="1"/>
  <c r="I112" i="1"/>
  <c r="I113" i="1"/>
  <c r="I114" i="1"/>
  <c r="I115" i="1"/>
  <c r="I116" i="1"/>
  <c r="I117" i="1"/>
  <c r="I109" i="1"/>
  <c r="I97" i="1"/>
  <c r="I98" i="1"/>
  <c r="I99" i="1"/>
  <c r="I100" i="1"/>
  <c r="I101" i="1"/>
  <c r="I102" i="1"/>
  <c r="I103" i="1"/>
  <c r="I104" i="1"/>
  <c r="I94" i="1"/>
  <c r="I80" i="1"/>
  <c r="I81" i="1"/>
  <c r="I82" i="1"/>
  <c r="I83" i="1"/>
  <c r="I84" i="1"/>
  <c r="I85" i="1"/>
  <c r="I86" i="1"/>
  <c r="I87" i="1"/>
  <c r="I88" i="1"/>
  <c r="I89" i="1"/>
  <c r="I90" i="1"/>
  <c r="I91" i="1"/>
  <c r="I92" i="1"/>
  <c r="I77" i="1"/>
  <c r="I17" i="1"/>
  <c r="I22" i="1"/>
  <c r="I26" i="1"/>
  <c r="I14" i="1"/>
  <c r="I31" i="1"/>
  <c r="I32" i="1"/>
  <c r="I33" i="1"/>
  <c r="I34" i="1"/>
  <c r="I35" i="1"/>
  <c r="I36" i="1"/>
  <c r="I37" i="1"/>
  <c r="I38" i="1"/>
  <c r="I28" i="1"/>
  <c r="I43" i="1"/>
  <c r="I44" i="1"/>
  <c r="I45" i="1"/>
  <c r="I46" i="1"/>
  <c r="I47" i="1"/>
  <c r="I49" i="1"/>
  <c r="I50" i="1"/>
  <c r="I51" i="1"/>
  <c r="I52" i="1"/>
  <c r="I59" i="1"/>
  <c r="I60" i="1"/>
  <c r="I61" i="1"/>
  <c r="I62" i="1"/>
  <c r="I63" i="1"/>
  <c r="I64" i="1"/>
  <c r="I65" i="1"/>
  <c r="I66" i="1"/>
  <c r="I67" i="1"/>
  <c r="I68" i="1"/>
  <c r="I69" i="1"/>
  <c r="I70" i="1"/>
  <c r="I71" i="1"/>
  <c r="I72" i="1"/>
  <c r="I73" i="1"/>
  <c r="I75" i="1"/>
  <c r="I40" i="1"/>
  <c r="I122" i="1"/>
  <c r="I123" i="1"/>
  <c r="I124" i="1"/>
  <c r="I125" i="1"/>
  <c r="I126" i="1"/>
  <c r="I127" i="1"/>
  <c r="I119" i="1"/>
  <c r="I133" i="1"/>
  <c r="I134" i="1"/>
  <c r="I135" i="1"/>
  <c r="I136" i="1"/>
  <c r="I137" i="1"/>
  <c r="I129" i="1"/>
  <c r="I142" i="1"/>
  <c r="I143" i="1"/>
  <c r="I144" i="1"/>
  <c r="I145" i="1"/>
  <c r="I146" i="1"/>
  <c r="I147" i="1"/>
  <c r="I148" i="1"/>
  <c r="I139" i="1"/>
  <c r="I153" i="1"/>
  <c r="I154" i="1"/>
  <c r="I155" i="1"/>
  <c r="I156" i="1"/>
  <c r="I157" i="1"/>
  <c r="I165" i="1"/>
  <c r="I166" i="1"/>
  <c r="I167" i="1"/>
  <c r="I168" i="1"/>
  <c r="I169" i="1"/>
  <c r="I170" i="1"/>
  <c r="I171" i="1"/>
  <c r="I172" i="1"/>
  <c r="I173" i="1"/>
  <c r="I174" i="1"/>
  <c r="I150" i="1"/>
  <c r="I179" i="1"/>
  <c r="I180" i="1"/>
  <c r="I181" i="1"/>
  <c r="I182" i="1"/>
  <c r="I183" i="1"/>
  <c r="I184" i="1"/>
  <c r="I185" i="1"/>
  <c r="I186" i="1"/>
  <c r="I187" i="1"/>
  <c r="I188" i="1"/>
  <c r="I189" i="1"/>
  <c r="I190" i="1"/>
  <c r="I191" i="1"/>
  <c r="I192" i="1"/>
  <c r="I193" i="1"/>
  <c r="I194" i="1"/>
  <c r="I195" i="1"/>
  <c r="I196" i="1"/>
  <c r="I197" i="1"/>
  <c r="I198" i="1"/>
  <c r="I199" i="1"/>
  <c r="I200" i="1"/>
  <c r="I201" i="1"/>
  <c r="I176" i="1"/>
  <c r="I206" i="1"/>
  <c r="I207" i="1"/>
  <c r="I208" i="1"/>
  <c r="I209" i="1"/>
  <c r="I210" i="1"/>
  <c r="I218" i="1"/>
  <c r="I219" i="1"/>
  <c r="I220" i="1"/>
  <c r="I221" i="1"/>
  <c r="I222" i="1"/>
  <c r="I223" i="1"/>
  <c r="I224" i="1"/>
  <c r="I225" i="1"/>
  <c r="I226" i="1"/>
  <c r="I203" i="1"/>
  <c r="I231" i="1"/>
  <c r="I232" i="1"/>
  <c r="I233" i="1"/>
  <c r="I234" i="1"/>
  <c r="I235" i="1"/>
  <c r="I236" i="1"/>
  <c r="I237" i="1"/>
  <c r="I238" i="1"/>
  <c r="I239" i="1"/>
  <c r="I240" i="1"/>
  <c r="I241" i="1"/>
  <c r="I242" i="1"/>
  <c r="I243" i="1"/>
  <c r="I244" i="1"/>
  <c r="I245" i="1"/>
  <c r="I228" i="1"/>
  <c r="I250" i="1"/>
  <c r="I251" i="1"/>
  <c r="I252" i="1"/>
  <c r="I253" i="1"/>
  <c r="I254" i="1"/>
  <c r="I255" i="1"/>
  <c r="I256" i="1"/>
  <c r="I257" i="1"/>
  <c r="I258" i="1"/>
  <c r="I259" i="1"/>
  <c r="I260" i="1"/>
  <c r="I261" i="1"/>
  <c r="I262" i="1"/>
  <c r="I263" i="1"/>
  <c r="I271" i="1"/>
  <c r="I272" i="1"/>
  <c r="I273" i="1"/>
  <c r="I274" i="1"/>
  <c r="I275" i="1"/>
  <c r="I276" i="1"/>
  <c r="I277" i="1"/>
  <c r="I247" i="1"/>
  <c r="I282" i="1"/>
  <c r="I283" i="1"/>
  <c r="I284" i="1"/>
  <c r="I285" i="1"/>
  <c r="I286" i="1"/>
  <c r="I287" i="1"/>
  <c r="I288" i="1"/>
  <c r="I290" i="1"/>
  <c r="I291" i="1"/>
  <c r="I292" i="1"/>
  <c r="I279" i="1"/>
  <c r="I132" i="1"/>
  <c r="G350" i="1"/>
  <c r="G349" i="1"/>
</calcChain>
</file>

<file path=xl/sharedStrings.xml><?xml version="1.0" encoding="utf-8"?>
<sst xmlns="http://schemas.openxmlformats.org/spreadsheetml/2006/main" count="467" uniqueCount="228">
  <si>
    <t>This contract reflects ALL installation trips to property.  The initial installation trip is to occur when the Information Center is to open and consists of Monuments signage, Information Center Interior signage, Information Exterior signage and the surrounding areas, as well as, buildings ready to receive signage.  Our LAST installation trip will consist of punch-out and completion of signage installation.  All signage needs for C.O. purposes that cannot be installed initially will be left on property with the job supervisor to suit his or her needs.  Fource Communications, Ltd. will do its best to coordinate total installation.  The owner, turnover schedules sometimes dictate otherwise, so to avoid any additional billing due to extra site visits, on site personnel will have ability to meet C.O. needs.</t>
  </si>
  <si>
    <t>50% deposit required to begin.  Balance due upon completion and final invoice.  If it becomes necessary for Fource Communications, Ltd. to secure a collections agency and/or attorney to pursue payment, the Client is responsible for any expenses incurred by Fource Communications, Ltd.</t>
  </si>
  <si>
    <t>**</t>
  </si>
  <si>
    <t>STANDARD PRODUCTION AND FABRICATION TIME IS 4-6 WEEKS FROM COMPLETE SIGNAGE BOOK APPROVAL.</t>
  </si>
  <si>
    <t>#1: ENTRY SIGNAGE</t>
    <phoneticPr fontId="2"/>
  </si>
  <si>
    <t>#2: LEASING CENTER- EXTERIOR SIGNAGE</t>
    <phoneticPr fontId="2"/>
  </si>
  <si>
    <t>SIGNAGE PROGRAM:</t>
    <phoneticPr fontId="2"/>
  </si>
  <si>
    <t>QTY.</t>
    <phoneticPr fontId="2"/>
  </si>
  <si>
    <t>DESCRIPTION:</t>
    <phoneticPr fontId="2"/>
  </si>
  <si>
    <t xml:space="preserve">SIGNAGE ADDED AFTER INSTALLATION BEGINS, WILL BE OPENED AS A SEPARATE JOB AND WILL REMAIN OPEN UNTIL AMOUNT IS GREAT ENOUGH TO BILL. </t>
    <phoneticPr fontId="2"/>
  </si>
  <si>
    <t>****</t>
    <phoneticPr fontId="2"/>
  </si>
  <si>
    <t>*****</t>
    <phoneticPr fontId="2"/>
  </si>
  <si>
    <t>******</t>
    <phoneticPr fontId="2"/>
  </si>
  <si>
    <t>ALL ADDITIONAL TRAVEL/INSTALLATION,  ALL SHIPPING/HANDLING OR COURIER CHARGES INCURRED WILL BE BILLED WITHIN THE FINAL NOTICE.</t>
    <phoneticPr fontId="2"/>
  </si>
  <si>
    <r>
      <t>DATE:</t>
    </r>
    <r>
      <rPr>
        <u/>
        <sz val="9"/>
        <rFont val="Gill Sans Light"/>
      </rPr>
      <t xml:space="preserve">                                                            </t>
    </r>
  </si>
  <si>
    <t xml:space="preserve">ARTWORK/PROOFS WILL BEGIN ONCE QUOTE IS SIGNED-OFF AND RECEIVED BY FOURCE. </t>
    <phoneticPr fontId="2"/>
  </si>
  <si>
    <t>This quote automatically expires at 5:00 PM of the 30th day from the date set out below.</t>
  </si>
  <si>
    <t>The signatures below serve as a binding contract that both parties agree to the scope of work and the terms and conditions as stated above.</t>
  </si>
  <si>
    <t>MURPHY WEBSTER, III</t>
  </si>
  <si>
    <t>FOURCE COMMUNICATIONS, LTD.</t>
  </si>
  <si>
    <t>DATE:</t>
  </si>
  <si>
    <t>CLIENT:</t>
  </si>
  <si>
    <t>ATTN:</t>
  </si>
  <si>
    <t>QUOTE #:</t>
  </si>
  <si>
    <t>***</t>
  </si>
  <si>
    <t>TERMS:</t>
  </si>
  <si>
    <t>COST PER SIGN</t>
  </si>
  <si>
    <t>TOTAL</t>
  </si>
  <si>
    <t>*******</t>
  </si>
  <si>
    <t>1/2 DOWN INSTALLMENT DUE UPON APPROVAL OF CONTRACT.</t>
  </si>
  <si>
    <t>FOURCE COMMUNICATIONS</t>
    <phoneticPr fontId="2"/>
  </si>
  <si>
    <t>QUOTE#</t>
    <phoneticPr fontId="2"/>
  </si>
  <si>
    <t>PAGE 2</t>
    <phoneticPr fontId="2"/>
  </si>
  <si>
    <t>BACK HALF WILL BE BILLED UPON INITIAL INSTALL LESS 10%. FINAL RETAINAGE DUE UPON COMPLETION.</t>
  </si>
  <si>
    <r>
      <t xml:space="preserve">#3: LEASING CENTER - INTERIOR SIGNAGE </t>
    </r>
    <r>
      <rPr>
        <b/>
        <sz val="9"/>
        <color indexed="10"/>
        <rFont val="Gill Sans Light"/>
      </rPr>
      <t>*ADA/BRAILLE WHERE APPLICABLE</t>
    </r>
  </si>
  <si>
    <t>A.</t>
  </si>
  <si>
    <t>B.</t>
  </si>
  <si>
    <t>C.</t>
  </si>
  <si>
    <t>D.</t>
  </si>
  <si>
    <t>E.</t>
  </si>
  <si>
    <t>F.</t>
  </si>
  <si>
    <t>G.</t>
  </si>
  <si>
    <t>H.</t>
  </si>
  <si>
    <t>I.</t>
  </si>
  <si>
    <t>J.</t>
  </si>
  <si>
    <t>L.</t>
  </si>
  <si>
    <t>M.</t>
  </si>
  <si>
    <t>N.</t>
  </si>
  <si>
    <t>PAGE 4</t>
  </si>
  <si>
    <t>PAGE 3</t>
  </si>
  <si>
    <t>A.</t>
    <phoneticPr fontId="2"/>
  </si>
  <si>
    <t>MANAGER ID W/ BACKER</t>
  </si>
  <si>
    <t>B.</t>
    <phoneticPr fontId="2"/>
  </si>
  <si>
    <t>ASSISTANT MANAGER ID W/ BACKER</t>
  </si>
  <si>
    <t>O.</t>
  </si>
  <si>
    <t>P.</t>
  </si>
  <si>
    <t>Q.</t>
  </si>
  <si>
    <t xml:space="preserve">UNIT DOOR NUMBERS </t>
  </si>
  <si>
    <t>WARNING NO LIFEGUARD - FENCE MOUNT</t>
  </si>
  <si>
    <t>911 PHONE - FENCE MOUNT</t>
  </si>
  <si>
    <t>PAGE 5</t>
  </si>
  <si>
    <t>EMBREY PARTNERS, LTD.</t>
  </si>
  <si>
    <t>1020 NE LOOP 410, #700</t>
  </si>
  <si>
    <t>SAN ANTONIO, TX 78209</t>
  </si>
  <si>
    <t>JENNA STOELTJE STAMPS</t>
  </si>
  <si>
    <t>2108EP03S</t>
  </si>
  <si>
    <t>CUSTOM HANDICAP PARKING - WALL MOUNT</t>
  </si>
  <si>
    <t>CUSTOM FUTURE RESIDENT PARKING - WALL MOUNT</t>
  </si>
  <si>
    <t>USPS PARKING - WALL MOUNT</t>
  </si>
  <si>
    <t>EMPLOYEE ONLY (BREAKROOM)</t>
  </si>
  <si>
    <t>MDF ID (EMPLOYEE BREAKROOM)</t>
  </si>
  <si>
    <t>LEASING ID</t>
  </si>
  <si>
    <t>GAME ROOM ID</t>
  </si>
  <si>
    <t>VIEWING LOUNGE ID</t>
  </si>
  <si>
    <t>INTERNET CAFÉ ID</t>
  </si>
  <si>
    <t>WORK ROOM ID (AT INTERNET CAFÉ)</t>
  </si>
  <si>
    <t>MAIL ID</t>
  </si>
  <si>
    <t>PACKAGE ID</t>
  </si>
  <si>
    <t>WOMENS RSTROOM</t>
  </si>
  <si>
    <t xml:space="preserve">MENS RESTROOM </t>
  </si>
  <si>
    <r>
      <t xml:space="preserve">#3: LEASING CENTER - INTERIOR SIGNAGE CONT. </t>
    </r>
    <r>
      <rPr>
        <b/>
        <sz val="9"/>
        <color rgb="FFFF0000"/>
        <rFont val="Gill Sans Light"/>
      </rPr>
      <t>*ADA/BRAILLE WHERE APPLICABLE</t>
    </r>
  </si>
  <si>
    <t>WORK SHARE ID</t>
  </si>
  <si>
    <t>WORK SHARE POLICY - WALL MOUNT</t>
  </si>
  <si>
    <t>WORK ROOM ID</t>
  </si>
  <si>
    <t>FITNESS ID</t>
  </si>
  <si>
    <t>FITNES POLICY - WALL MOUNT</t>
  </si>
  <si>
    <t>YOGA STUDIO ID</t>
  </si>
  <si>
    <t xml:space="preserve">MAX OCCUPANCY ( LEASE, LOBBY, FITNESS, GAME, CLUBROOM, </t>
  </si>
  <si>
    <t>WORK SHARE)</t>
  </si>
  <si>
    <t>K.</t>
  </si>
  <si>
    <t>R.</t>
  </si>
  <si>
    <t>S.</t>
  </si>
  <si>
    <t>T.</t>
  </si>
  <si>
    <t>U.</t>
  </si>
  <si>
    <t>V.</t>
  </si>
  <si>
    <t>W.</t>
  </si>
  <si>
    <t>X.</t>
  </si>
  <si>
    <t>BEL AIRE (COLFAX &amp; OWENS)</t>
  </si>
  <si>
    <t>UNIT DOOR NUMBERS</t>
  </si>
  <si>
    <t>RESIDENT STORAGE</t>
  </si>
  <si>
    <t>STAIR ACCESS EXT.</t>
  </si>
  <si>
    <t>BUILDING ACCESS EXT.</t>
  </si>
  <si>
    <t>STAIR / LEVEL</t>
  </si>
  <si>
    <t>BUILDING TO GARAGE / STAIR / LEVEL (S2)</t>
  </si>
  <si>
    <t>ELECTRICAL ID (X1 AT BIKE AND GEAR STORAGE)</t>
  </si>
  <si>
    <t>DOG LOUNGE / WASH ID</t>
  </si>
  <si>
    <t>DOG LOUNGE / WASH POLICY - WALL MOUNT</t>
  </si>
  <si>
    <t>BIKE AND GEAR STORAGE ID</t>
  </si>
  <si>
    <t>BIKE AND GEAR STORAGE POLICY - WALL MOUNT</t>
  </si>
  <si>
    <t xml:space="preserve">MECHANICAL ID </t>
  </si>
  <si>
    <t>ELEVATOR EGRESS MAP / DO NOT USE (E2)</t>
  </si>
  <si>
    <t>BUILDING TO GARAGE / STAIR / LEVEL (S6)</t>
  </si>
  <si>
    <t>BUILDING TO GARAGE</t>
  </si>
  <si>
    <t>UNIT ACCESS</t>
  </si>
  <si>
    <t>STAIRWELL ID (X1 EACH AT S1, S3, S4, S5, S7)</t>
  </si>
  <si>
    <t>TRASH ROOM ID</t>
  </si>
  <si>
    <t>HALLWAY DIRECTIONAL</t>
  </si>
  <si>
    <t>IDF ID</t>
  </si>
  <si>
    <t>ELECTRICAL ID</t>
  </si>
  <si>
    <t>MECHANICAL ID (AT MAINTENANCE)</t>
  </si>
  <si>
    <t>ELEVATOR EGRESS MAP / DO NOT USE</t>
  </si>
  <si>
    <t>FIRE RISER ROOM (4")</t>
  </si>
  <si>
    <t>FDC WITH ADDRESS</t>
  </si>
  <si>
    <t>STAIR / LEVEL ID (X1 EACH AT S1, S3, S4, S5, S7)</t>
  </si>
  <si>
    <t>STAIR / LEVEL ID (X1 EACH AT S7, S5, S4, S3)</t>
  </si>
  <si>
    <t>BUILDING TO GARAGE / ELEVATOR LOBBY (E2)</t>
  </si>
  <si>
    <t>ELEVATOR LOBBY (E3)</t>
  </si>
  <si>
    <t>ELEC. / LV ID</t>
  </si>
  <si>
    <t>LOW - VOLT ID</t>
  </si>
  <si>
    <t>STAIRWELL ID</t>
  </si>
  <si>
    <t>BUILDING TO GARAGE / ELEVATOR LOBBY</t>
  </si>
  <si>
    <t>ROOF ACCESS (X1 AT S7, X1 AT S4)</t>
  </si>
  <si>
    <t>ELEVATOR CTRL ID</t>
  </si>
  <si>
    <t>UNISEX RESTROOM (X1 AT MOUNTAIN VIEW, X1 AT CITY VIEW)</t>
  </si>
  <si>
    <t>GARAGE TO BUILDING / STAIR / LEVEL</t>
  </si>
  <si>
    <t>GARAGE TO BUILDING (X1 AT S2, X1 AT ELEVATOR LOBBY)</t>
  </si>
  <si>
    <t xml:space="preserve">BUILDING TO GARAGE </t>
  </si>
  <si>
    <t>GARAGE TO BUILDING / ELEVATOR LOBBY ID</t>
  </si>
  <si>
    <t>GARAGE ACCESS</t>
  </si>
  <si>
    <t>TRASH ID</t>
  </si>
  <si>
    <t>TRASH PICK-UP / DO NOT BLOCK</t>
  </si>
  <si>
    <t>TRASH / RECYCLE STAGING ID</t>
  </si>
  <si>
    <t>ENTER / EXIT / GATE WARNING SIGN PACKAGE</t>
  </si>
  <si>
    <t xml:space="preserve">GARAGE TO BUILDING / STAIR / LEVEL </t>
  </si>
  <si>
    <t>GARAGE TO BUILDING / ELEVATOR / LOBBY ID</t>
  </si>
  <si>
    <t>GARAGE TO BUILDING (X1 AT S6, X1 AT ELEVATOR LOBBY)</t>
  </si>
  <si>
    <t>BUILDING TO GARAGE (X1 EACH AT STAIR, X1 ELEVATOR LOBBY)</t>
  </si>
  <si>
    <t>ELEVATOR  EGRESS MAP / DO NOT USE</t>
  </si>
  <si>
    <t>GARAGE TO BUILDING / ELEVATOR / LOBBY</t>
  </si>
  <si>
    <t>GARAGE TO BUILDING</t>
  </si>
  <si>
    <t xml:space="preserve">STAIRWELL ID </t>
  </si>
  <si>
    <t>BUILDING TO GARAGE (X1 AT EACH STAIR, X1 AT ELEVATOR LOBBY)</t>
  </si>
  <si>
    <t>BUILDING TO GARAGE (X1 AT ELEVATOR LOBBY)</t>
  </si>
  <si>
    <t>POOL HOURS VINYL</t>
  </si>
  <si>
    <t>GRILLING POLICY - STRUCTURE MOUNT (X1 AT POOL ,</t>
  </si>
  <si>
    <t>X1 AT COURTYARD, X1 DOG PARK)</t>
  </si>
  <si>
    <t>POOL EQUIPMENT ID</t>
  </si>
  <si>
    <t>POOL CHEMICAL ID</t>
  </si>
  <si>
    <t>FIRE FEATURE GUIDELINES (X1AT POOL, X1 AT DOG PARK)</t>
  </si>
  <si>
    <t>DOG PARK ID</t>
  </si>
  <si>
    <t>DOG PARK POLICY - FENCE MOUNT</t>
  </si>
  <si>
    <t>HOURS SIGN - SUMMER / WINTER HOURS</t>
  </si>
  <si>
    <t>LEASING CENTER ID - LOADS TO CANOPY ABOVE ENTRY VESTIBULE</t>
  </si>
  <si>
    <t>MECHANICAL ID (X1 AT EMPLOYEE BREAKROOM, X1 AT GAME,</t>
  </si>
  <si>
    <t>HALLWAY DIRECTIONALS</t>
  </si>
  <si>
    <r>
      <t>#5: PARKING GARAGE LEVEL 1  SIGNAGE</t>
    </r>
    <r>
      <rPr>
        <b/>
        <sz val="9"/>
        <color indexed="10"/>
        <rFont val="Gill Sans Light"/>
      </rPr>
      <t xml:space="preserve"> *ADA/BRAILLE WHERE APPLICABLE</t>
    </r>
  </si>
  <si>
    <r>
      <t>#6: PARKING GARAGE LEVEL 2 SIGNAGE</t>
    </r>
    <r>
      <rPr>
        <b/>
        <sz val="9"/>
        <color indexed="10"/>
        <rFont val="Gill Sans Light"/>
      </rPr>
      <t xml:space="preserve"> *ADA/BRAILLE WHERE APPLICABLE</t>
    </r>
  </si>
  <si>
    <r>
      <t>#8: PARKING GARAGE LEVEL 4  SIGNAGE</t>
    </r>
    <r>
      <rPr>
        <b/>
        <sz val="9"/>
        <color indexed="10"/>
        <rFont val="Gill Sans Light"/>
      </rPr>
      <t xml:space="preserve"> *ADA/BRAILLE WHERE APPLICABLE</t>
    </r>
  </si>
  <si>
    <r>
      <t>#7: PARKING GARAGE LEVEL 3 SIGNAGE</t>
    </r>
    <r>
      <rPr>
        <b/>
        <sz val="9"/>
        <color indexed="10"/>
        <rFont val="Gill Sans Light"/>
      </rPr>
      <t xml:space="preserve"> *ADA/BRAILLE WHERE APPLICABLE</t>
    </r>
  </si>
  <si>
    <t>PAGE 6</t>
  </si>
  <si>
    <r>
      <t>#9: PARKING GARAGE LEVEL 5  SIGNAGE</t>
    </r>
    <r>
      <rPr>
        <b/>
        <sz val="9"/>
        <color indexed="10"/>
        <rFont val="Gill Sans Light"/>
      </rPr>
      <t xml:space="preserve"> *ADA/BRAILLE WHERE APPLICABLE</t>
    </r>
  </si>
  <si>
    <r>
      <t xml:space="preserve">#10: BASEMENT SIGNAGE </t>
    </r>
    <r>
      <rPr>
        <b/>
        <sz val="9"/>
        <color indexed="10"/>
        <rFont val="Gill Sans Light"/>
      </rPr>
      <t>*ADA/BRAILLE WHERE APPLICABLE</t>
    </r>
  </si>
  <si>
    <r>
      <t>#11: LEVEL 1  SIGNAGE</t>
    </r>
    <r>
      <rPr>
        <b/>
        <sz val="9"/>
        <color indexed="10"/>
        <rFont val="Gill Sans Light"/>
      </rPr>
      <t xml:space="preserve"> *ADA/BRAILLE WHERE APPLICABLE</t>
    </r>
  </si>
  <si>
    <t xml:space="preserve">H. </t>
  </si>
  <si>
    <t>STAIR ACCESS EXT. (S1)</t>
  </si>
  <si>
    <t>BUILDING TO GARAGE / ELEVATOR / LOBBY</t>
  </si>
  <si>
    <t>TRASH ROOM POLICY - WALL MOUNT</t>
  </si>
  <si>
    <t>MAINTENANCE ID</t>
  </si>
  <si>
    <t>FIRE DOOR / DO NOT BLOCK (X2 AT EACH)</t>
  </si>
  <si>
    <t>FIRE DOOR / DO NOT USE (X2 AT EACH)</t>
  </si>
  <si>
    <t xml:space="preserve">CITY SKY DECK ID </t>
  </si>
  <si>
    <t>CITY SKY DECK POLICY - WALL MOUNT</t>
  </si>
  <si>
    <t>MOUNTAIN VIEW SKY DECK ID</t>
  </si>
  <si>
    <t>MOUNTAIN VIEW SKY DECK POLICY - WALL MOUNT</t>
  </si>
  <si>
    <t>MAX OCCUPANCY ( X1 AT EACH SKY DECK)</t>
  </si>
  <si>
    <t>POOL POLICY - FENCE MOUNT</t>
  </si>
  <si>
    <r>
      <t>#12: LEVEL 2 SIGNAGE</t>
    </r>
    <r>
      <rPr>
        <b/>
        <sz val="9"/>
        <color indexed="10"/>
        <rFont val="Gill Sans Light"/>
      </rPr>
      <t xml:space="preserve"> *ADA/BRAILLE WHERE APPLICABLE</t>
    </r>
  </si>
  <si>
    <r>
      <t>#13: LEVEL 3  SIGNAGE</t>
    </r>
    <r>
      <rPr>
        <b/>
        <sz val="9"/>
        <color indexed="10"/>
        <rFont val="Gill Sans Light"/>
      </rPr>
      <t xml:space="preserve"> *ADA/BRAILLE WHERE APPLICABLE</t>
    </r>
  </si>
  <si>
    <r>
      <t>#14: LEVEL 4  SIGNAGE</t>
    </r>
    <r>
      <rPr>
        <b/>
        <sz val="9"/>
        <color indexed="10"/>
        <rFont val="Gill Sans Light"/>
      </rPr>
      <t xml:space="preserve"> *ADA/BRAILLE WHERE APPLICABLE</t>
    </r>
  </si>
  <si>
    <t>#15: AMENITY SIGNAGE</t>
  </si>
  <si>
    <t>A</t>
  </si>
  <si>
    <t>08.24.03</t>
  </si>
  <si>
    <t>DOUBLE DOOR VINYL KIT (LOGO, URL, PHONE) (X1 AT EACH ENTRY)</t>
  </si>
  <si>
    <t>ADDRESS NUMERALS - INDIVIDUAL NUMBERALS</t>
  </si>
  <si>
    <t>"DOOR TO REMIAN UNLOCKED…" VINYL KIT (X1 AT EACH  ENTRY)</t>
  </si>
  <si>
    <t>X1 AT YOGA, X1 AT RESTROOM)</t>
  </si>
  <si>
    <t xml:space="preserve">CLUB ROOM ID </t>
  </si>
  <si>
    <r>
      <t>#4: PARKING GARAGE BASEMENT SIGNAGE</t>
    </r>
    <r>
      <rPr>
        <b/>
        <sz val="9"/>
        <color indexed="10"/>
        <rFont val="Gill Sans Light"/>
      </rPr>
      <t xml:space="preserve"> *ADA/BRAILLE WHERE APPLICABLE</t>
    </r>
  </si>
  <si>
    <t>SUBTOTAL:</t>
  </si>
  <si>
    <t>TAX (N/A, SHIPPING OUT OF STATE):</t>
  </si>
  <si>
    <t>TRAVEL/INSTALLATION :</t>
  </si>
  <si>
    <t>PAGE 7</t>
  </si>
  <si>
    <t>10.31.23 REVISION 1</t>
  </si>
  <si>
    <t>*BLOCKING AND POWER TO LOCATION BY OTHERS*</t>
  </si>
  <si>
    <t>ILLUMINATED DOUBLE-FACED BLADE / PROJECTING SIGNS. CUSTOM "C"</t>
  </si>
  <si>
    <t>CHANNEL LETTERS W/PUSH - THRU ARCYLIC. FEATURES LED TUBE LIGHTING</t>
  </si>
  <si>
    <t>EDGE "BEL AIRE". CUSTOM "C" CHANNEL LETTERS W/PUSH - THRU</t>
  </si>
  <si>
    <t>ACRYLIC. LOADS TO EYEBROW FEATURE OVER LEASING ENTRY.</t>
  </si>
  <si>
    <t>ILLUMINATED GARAGE ENTRY PROJECTING SIGN / BUTTON SIGN</t>
  </si>
  <si>
    <t>CLUB ROOM / GAME POLICY - WALL MOUNT</t>
  </si>
  <si>
    <t>INTERNET CAFÉ POLICY - STAND-UP</t>
  </si>
  <si>
    <t>DESKTOP PACKAGE - CUSTOM (PROP. ID, NO CASH, EQH., ETC…)</t>
  </si>
  <si>
    <t>10' CLEARANCE BAR PACKAGE (FOR CLEARANCE CHANGE)</t>
  </si>
  <si>
    <t>EXHAUST ID</t>
  </si>
  <si>
    <t>12' CLEARNCE BAR PACKAGE (AT ENTRY / CENTERED)</t>
  </si>
  <si>
    <r>
      <t xml:space="preserve">#10: BASEMENT SIGNAGE </t>
    </r>
    <r>
      <rPr>
        <b/>
        <sz val="9"/>
        <color theme="1"/>
        <rFont val="Gill Sans Light"/>
      </rPr>
      <t>CONT.</t>
    </r>
    <r>
      <rPr>
        <b/>
        <sz val="9"/>
        <color indexed="10"/>
        <rFont val="Gill Sans Light"/>
      </rPr>
      <t xml:space="preserve"> *ADA/BRAILLE WHERE APPLICABLE</t>
    </r>
  </si>
  <si>
    <t>BUILDING / ADDRESS SIGNS</t>
  </si>
  <si>
    <t>FACP (VERIFY LOCATION)</t>
  </si>
  <si>
    <r>
      <t>#12: LEVEL 2 SIGNAGE</t>
    </r>
    <r>
      <rPr>
        <b/>
        <sz val="9"/>
        <color indexed="10"/>
        <rFont val="Gill Sans Light"/>
      </rPr>
      <t xml:space="preserve"> </t>
    </r>
    <r>
      <rPr>
        <b/>
        <sz val="9"/>
        <color theme="1"/>
        <rFont val="Gill Sans Light"/>
      </rPr>
      <t xml:space="preserve">CONT. </t>
    </r>
    <r>
      <rPr>
        <b/>
        <sz val="9"/>
        <color indexed="10"/>
        <rFont val="Gill Sans Light"/>
      </rPr>
      <t>*ADA/BRAILLE WHERE APPLICABLE</t>
    </r>
  </si>
  <si>
    <r>
      <t>#14: LEVEL 4  SIGNAGE</t>
    </r>
    <r>
      <rPr>
        <b/>
        <sz val="9"/>
        <color indexed="10"/>
        <rFont val="Gill Sans Light"/>
      </rPr>
      <t xml:space="preserve"> </t>
    </r>
    <r>
      <rPr>
        <b/>
        <sz val="9"/>
        <color theme="1"/>
        <rFont val="Gill Sans Light"/>
      </rPr>
      <t>CONT.</t>
    </r>
    <r>
      <rPr>
        <b/>
        <sz val="9"/>
        <color indexed="10"/>
        <rFont val="Gill Sans Light"/>
      </rPr>
      <t xml:space="preserve"> *ADA/BRAILLE WHERE APPLICABLE</t>
    </r>
  </si>
  <si>
    <t>SHIPPING &amp; HANDLING (ESTIMATED)</t>
  </si>
  <si>
    <t>PERMIT PROCUREMENT &amp; ACQUISITION (ALL CITY &amp; ENGINEERING FEES ADDITIONAL, BILLED AT COST):</t>
  </si>
  <si>
    <t>COMPREHENSIVE SIGN FINAL SUBMITTAL PACKAGE WITH FEES:</t>
  </si>
  <si>
    <t>LOADS TO BLOCKING PRIOR TO FASCIA / BRICK APPLICATION</t>
  </si>
  <si>
    <t xml:space="preserve">ON TWO SIDES. LOADS TO ARMATURE BRACKET FURNISHED BY FOURCE. </t>
  </si>
  <si>
    <t>ILLUMINATED STAND-UP CHANNEL LETTERS ON RAIL WITH TRIMLESS</t>
  </si>
  <si>
    <t>11.01.23 REVISION 2</t>
  </si>
  <si>
    <t>*** THIS ONE INCLUDES THE COMPREHENSIVE SIGN SUBMITTAL FEE OF $1800. THE ONE WE WILL BE CONTRACTED FOR, IT'S NOT INCLUDED ON THE EXCEL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</si>
</sst>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6">
    <font>
      <sz val="10"/>
      <name val="Verdana"/>
    </font>
    <font>
      <sz val="10"/>
      <name val="Verdana"/>
      <family val="2"/>
    </font>
    <font>
      <sz val="8"/>
      <name val="Verdana"/>
      <family val="2"/>
    </font>
    <font>
      <sz val="10"/>
      <name val="Gill Sans Light"/>
    </font>
    <font>
      <sz val="8"/>
      <name val="Gill Sans Light"/>
    </font>
    <font>
      <sz val="9"/>
      <name val="Gill Sans Light"/>
    </font>
    <font>
      <b/>
      <sz val="9"/>
      <name val="Gill Sans Light"/>
    </font>
    <font>
      <sz val="9"/>
      <name val="Verdana"/>
      <family val="2"/>
    </font>
    <font>
      <b/>
      <sz val="9"/>
      <color indexed="10"/>
      <name val="Gill Sans Light"/>
    </font>
    <font>
      <u/>
      <sz val="9"/>
      <name val="Gill Sans Light"/>
    </font>
    <font>
      <b/>
      <sz val="8.6999999999999993"/>
      <name val="Gill Sans Light"/>
    </font>
    <font>
      <b/>
      <sz val="9"/>
      <color rgb="FFFF0000"/>
      <name val="Gill Sans Light"/>
    </font>
    <font>
      <sz val="10"/>
      <color theme="0"/>
      <name val="Gill Sans Light"/>
    </font>
    <font>
      <sz val="9"/>
      <color rgb="FFFF0000"/>
      <name val="Gill Sans Light"/>
    </font>
    <font>
      <b/>
      <sz val="9"/>
      <color theme="1"/>
      <name val="Gill Sans Light"/>
    </font>
    <font>
      <b/>
      <sz val="10"/>
      <name val="Verdana"/>
      <family val="2"/>
    </font>
  </fonts>
  <fills count="3">
    <fill>
      <patternFill patternType="none"/>
    </fill>
    <fill>
      <patternFill patternType="gray125"/>
    </fill>
    <fill>
      <patternFill patternType="solid">
        <fgColor rgb="FFFFFF00"/>
        <bgColor indexed="64"/>
      </patternFill>
    </fill>
  </fills>
  <borders count="6">
    <border>
      <left/>
      <right/>
      <top/>
      <bottom/>
      <diagonal/>
    </border>
    <border>
      <left/>
      <right/>
      <top style="dotted">
        <color indexed="64"/>
      </top>
      <bottom/>
      <diagonal/>
    </border>
    <border>
      <left/>
      <right/>
      <top/>
      <bottom style="dotted">
        <color indexed="64"/>
      </bottom>
      <diagonal/>
    </border>
    <border>
      <left/>
      <right/>
      <top style="double">
        <color indexed="64"/>
      </top>
      <bottom/>
      <diagonal/>
    </border>
    <border>
      <left/>
      <right/>
      <top/>
      <bottom style="double">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81">
    <xf numFmtId="0" fontId="0" fillId="0" borderId="0" xfId="0"/>
    <xf numFmtId="0" fontId="3" fillId="0" borderId="0" xfId="0" applyFont="1"/>
    <xf numFmtId="0" fontId="5" fillId="0" borderId="0" xfId="0" applyFont="1"/>
    <xf numFmtId="0" fontId="6" fillId="0" borderId="0" xfId="0" applyFont="1"/>
    <xf numFmtId="0" fontId="6" fillId="0" borderId="0" xfId="0" applyFont="1" applyAlignment="1">
      <alignment horizontal="center"/>
    </xf>
    <xf numFmtId="44" fontId="5" fillId="0" borderId="0" xfId="1" applyFont="1"/>
    <xf numFmtId="0" fontId="5" fillId="0" borderId="1" xfId="0" applyFont="1" applyBorder="1"/>
    <xf numFmtId="44" fontId="5" fillId="0" borderId="1" xfId="1" applyFont="1" applyBorder="1"/>
    <xf numFmtId="0" fontId="5" fillId="0" borderId="2" xfId="0" applyFont="1" applyBorder="1"/>
    <xf numFmtId="44" fontId="5" fillId="0" borderId="2" xfId="1" applyFont="1"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center"/>
    </xf>
    <xf numFmtId="37" fontId="5" fillId="0" borderId="0" xfId="0" quotePrefix="1" applyNumberFormat="1" applyFont="1" applyAlignment="1">
      <alignment horizontal="center"/>
    </xf>
    <xf numFmtId="44" fontId="5" fillId="0" borderId="0" xfId="0" applyNumberFormat="1" applyFont="1"/>
    <xf numFmtId="44" fontId="5" fillId="0" borderId="0" xfId="1" applyFont="1" applyBorder="1"/>
    <xf numFmtId="44" fontId="5" fillId="0" borderId="1" xfId="0" applyNumberFormat="1" applyFont="1" applyBorder="1"/>
    <xf numFmtId="44" fontId="5" fillId="0" borderId="2" xfId="0" applyNumberFormat="1" applyFont="1" applyBorder="1"/>
    <xf numFmtId="39" fontId="5" fillId="0" borderId="0" xfId="0" applyNumberFormat="1" applyFont="1"/>
    <xf numFmtId="1" fontId="5" fillId="0" borderId="0" xfId="0" quotePrefix="1" applyNumberFormat="1" applyFont="1" applyAlignment="1">
      <alignment horizontal="center"/>
    </xf>
    <xf numFmtId="44" fontId="5" fillId="0" borderId="0" xfId="0" applyNumberFormat="1" applyFont="1" applyAlignment="1">
      <alignment horizontal="center"/>
    </xf>
    <xf numFmtId="0" fontId="5" fillId="0" borderId="0" xfId="0" applyFont="1" applyAlignment="1">
      <alignment vertical="top"/>
    </xf>
    <xf numFmtId="0" fontId="6" fillId="0" borderId="1" xfId="0" applyFont="1" applyBorder="1"/>
    <xf numFmtId="44" fontId="6" fillId="0" borderId="1" xfId="0" applyNumberFormat="1" applyFont="1" applyBorder="1"/>
    <xf numFmtId="0" fontId="6" fillId="0" borderId="2" xfId="0" applyFont="1" applyBorder="1"/>
    <xf numFmtId="44" fontId="6" fillId="0" borderId="2" xfId="0" applyNumberFormat="1" applyFont="1" applyBorder="1"/>
    <xf numFmtId="44" fontId="6" fillId="0" borderId="0" xfId="0" applyNumberFormat="1" applyFont="1"/>
    <xf numFmtId="0" fontId="5" fillId="0" borderId="3" xfId="0" applyFont="1" applyBorder="1"/>
    <xf numFmtId="0" fontId="5" fillId="0" borderId="4" xfId="0" applyFont="1" applyBorder="1"/>
    <xf numFmtId="0" fontId="5" fillId="0" borderId="0" xfId="0" applyFont="1" applyAlignment="1">
      <alignment horizontal="right"/>
    </xf>
    <xf numFmtId="0" fontId="6" fillId="0" borderId="0" xfId="0" applyFont="1" applyAlignment="1">
      <alignment horizontal="left" vertical="top"/>
    </xf>
    <xf numFmtId="44" fontId="6" fillId="0" borderId="0" xfId="1" applyFont="1" applyAlignment="1">
      <alignment horizontal="left" vertical="top"/>
    </xf>
    <xf numFmtId="44" fontId="6" fillId="0" borderId="0" xfId="1" applyFont="1"/>
    <xf numFmtId="0" fontId="5" fillId="0" borderId="0" xfId="0" applyFont="1" applyAlignment="1">
      <alignment horizontal="left" vertical="top"/>
    </xf>
    <xf numFmtId="0" fontId="5" fillId="0" borderId="5" xfId="0" applyFont="1" applyBorder="1"/>
    <xf numFmtId="44" fontId="5" fillId="0" borderId="0" xfId="0" applyNumberFormat="1" applyFont="1" applyAlignment="1">
      <alignment horizontal="right"/>
    </xf>
    <xf numFmtId="0" fontId="6" fillId="0" borderId="0" xfId="0" applyFont="1" applyAlignment="1">
      <alignment horizontal="left"/>
    </xf>
    <xf numFmtId="0" fontId="7" fillId="0" borderId="0" xfId="0" applyFont="1"/>
    <xf numFmtId="0" fontId="6" fillId="0" borderId="0" xfId="0" applyFont="1" applyAlignment="1">
      <alignment horizontal="center" vertical="center"/>
    </xf>
    <xf numFmtId="0" fontId="5" fillId="0" borderId="0" xfId="0" quotePrefix="1" applyFont="1" applyAlignment="1">
      <alignment horizontal="center"/>
    </xf>
    <xf numFmtId="44" fontId="5" fillId="0" borderId="0" xfId="1" applyFont="1" applyAlignment="1"/>
    <xf numFmtId="0" fontId="5" fillId="0" borderId="0" xfId="0" applyFont="1" applyAlignment="1">
      <alignment horizontal="left"/>
    </xf>
    <xf numFmtId="0" fontId="6" fillId="0" borderId="0" xfId="0" applyFont="1" applyAlignment="1">
      <alignment horizontal="left" vertical="center"/>
    </xf>
    <xf numFmtId="44" fontId="6" fillId="0" borderId="0" xfId="0" applyNumberFormat="1" applyFont="1" applyAlignment="1">
      <alignment horizontal="center" vertical="center"/>
    </xf>
    <xf numFmtId="44" fontId="5" fillId="0" borderId="0" xfId="0" applyNumberFormat="1" applyFont="1" applyAlignment="1">
      <alignment horizontal="center" vertical="center"/>
    </xf>
    <xf numFmtId="0" fontId="6" fillId="0" borderId="0" xfId="0" applyFont="1" applyAlignment="1">
      <alignment horizontal="left" vertical="center" wrapText="1"/>
    </xf>
    <xf numFmtId="1" fontId="5" fillId="0" borderId="0" xfId="0" applyNumberFormat="1" applyFont="1" applyAlignment="1">
      <alignment horizontal="center"/>
    </xf>
    <xf numFmtId="0" fontId="12" fillId="0" borderId="0" xfId="0" applyFont="1"/>
    <xf numFmtId="0" fontId="13" fillId="0" borderId="0" xfId="0" applyFont="1"/>
    <xf numFmtId="44" fontId="6" fillId="0" borderId="1" xfId="1" applyFont="1" applyBorder="1"/>
    <xf numFmtId="0" fontId="15" fillId="0" borderId="0" xfId="0" applyFont="1"/>
    <xf numFmtId="0" fontId="6" fillId="2" borderId="0" xfId="0" applyFont="1" applyFill="1" applyAlignment="1">
      <alignment wrapText="1"/>
    </xf>
    <xf numFmtId="0" fontId="0" fillId="2" borderId="0" xfId="0" applyFill="1" applyAlignment="1">
      <alignment wrapText="1"/>
    </xf>
    <xf numFmtId="44" fontId="6" fillId="0" borderId="1" xfId="0" applyNumberFormat="1" applyFont="1" applyBorder="1" applyAlignment="1">
      <alignment horizontal="center" vertical="center"/>
    </xf>
    <xf numFmtId="44" fontId="6" fillId="0" borderId="2" xfId="0" applyNumberFormat="1" applyFont="1" applyBorder="1" applyAlignment="1">
      <alignment horizontal="center" vertical="center"/>
    </xf>
    <xf numFmtId="44" fontId="5" fillId="0" borderId="0" xfId="0" applyNumberFormat="1" applyFont="1" applyAlignment="1">
      <alignment horizontal="center" vertical="center"/>
    </xf>
    <xf numFmtId="0" fontId="6" fillId="0" borderId="1" xfId="0" applyFont="1" applyBorder="1" applyAlignment="1">
      <alignment horizontal="left" vertical="center"/>
    </xf>
    <xf numFmtId="0" fontId="6" fillId="0" borderId="2" xfId="0" applyFont="1" applyBorder="1" applyAlignment="1">
      <alignment horizontal="left" vertical="center"/>
    </xf>
    <xf numFmtId="0" fontId="7" fillId="0" borderId="1" xfId="0" applyFont="1" applyBorder="1"/>
    <xf numFmtId="0" fontId="7" fillId="0" borderId="2" xfId="0" applyFont="1" applyBorder="1"/>
    <xf numFmtId="0" fontId="5" fillId="0" borderId="0" xfId="0" applyFont="1" applyAlignment="1">
      <alignment horizontal="left" vertical="top" wrapText="1"/>
    </xf>
    <xf numFmtId="44" fontId="6" fillId="0" borderId="3" xfId="1" applyFont="1" applyBorder="1" applyAlignment="1">
      <alignment horizontal="center" vertical="center"/>
    </xf>
    <xf numFmtId="0" fontId="6" fillId="0" borderId="4" xfId="0" applyFont="1" applyBorder="1" applyAlignment="1">
      <alignment horizontal="center" vertical="center"/>
    </xf>
    <xf numFmtId="0" fontId="7" fillId="0" borderId="0" xfId="0" applyFont="1"/>
    <xf numFmtId="0" fontId="6" fillId="0" borderId="0" xfId="0" applyFont="1" applyAlignment="1">
      <alignment horizontal="left" vertical="top"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0" xfId="0" applyFont="1" applyAlignment="1">
      <alignment horizontal="left" wrapText="1"/>
    </xf>
    <xf numFmtId="44" fontId="6" fillId="0" borderId="1" xfId="1" applyFont="1" applyBorder="1" applyAlignment="1">
      <alignment horizontal="center" vertical="center"/>
    </xf>
    <xf numFmtId="0" fontId="10" fillId="0" borderId="1" xfId="0" applyFont="1" applyBorder="1" applyAlignment="1">
      <alignment horizontal="left" vertical="center" wrapText="1"/>
    </xf>
    <xf numFmtId="0" fontId="10" fillId="0" borderId="2" xfId="0" applyFont="1" applyBorder="1" applyAlignment="1">
      <alignment horizontal="left" vertical="center" wrapText="1"/>
    </xf>
    <xf numFmtId="44" fontId="6" fillId="0" borderId="2" xfId="1" applyFont="1" applyBorder="1" applyAlignment="1">
      <alignment horizontal="center" vertical="center"/>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5" fillId="0" borderId="0" xfId="0" applyFont="1" applyAlignment="1">
      <alignment horizontal="left"/>
    </xf>
    <xf numFmtId="0" fontId="9" fillId="0" borderId="0" xfId="0" applyFont="1"/>
    <xf numFmtId="0" fontId="5" fillId="0" borderId="5" xfId="0" applyFont="1" applyBorder="1" applyAlignment="1">
      <alignment horizontal="left"/>
    </xf>
    <xf numFmtId="0" fontId="7" fillId="0" borderId="5" xfId="0" applyFont="1" applyBorder="1" applyAlignment="1">
      <alignment horizontal="left"/>
    </xf>
    <xf numFmtId="0" fontId="6" fillId="0" borderId="2" xfId="0" applyFont="1" applyBorder="1" applyAlignment="1">
      <alignment horizontal="center" vertical="center"/>
    </xf>
    <xf numFmtId="0" fontId="6" fillId="0" borderId="1" xfId="0" applyFont="1" applyBorder="1" applyAlignment="1">
      <alignment horizontal="left"/>
    </xf>
    <xf numFmtId="0" fontId="6" fillId="0" borderId="2" xfId="0" applyFont="1" applyBorder="1" applyAlignment="1">
      <alignment horizontal="left"/>
    </xf>
  </cellXfs>
  <cellStyles count="2">
    <cellStyle name="Currency" xfId="1" builtinId="4"/>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70"/>
  <sheetViews>
    <sheetView tabSelected="1" view="pageLayout" zoomScale="125" zoomScaleNormal="125" zoomScalePageLayoutView="125" workbookViewId="0">
      <selection activeCell="F8" sqref="F8:G12"/>
    </sheetView>
  </sheetViews>
  <sheetFormatPr defaultColWidth="10.625" defaultRowHeight="12.75"/>
  <cols>
    <col min="1" max="1" width="3" style="1" customWidth="1"/>
    <col min="2" max="2" width="7.875" style="1" customWidth="1"/>
    <col min="3" max="3" width="7.625" style="1" customWidth="1"/>
    <col min="4" max="4" width="10.625" style="1"/>
    <col min="5" max="5" width="7.125" style="1" bestFit="1" customWidth="1"/>
    <col min="6" max="6" width="22.625" style="1" customWidth="1"/>
    <col min="7" max="7" width="10.125" style="1" customWidth="1"/>
    <col min="8" max="8" width="11.125" style="1" customWidth="1"/>
    <col min="9" max="9" width="10.625" style="1" customWidth="1"/>
    <col min="10" max="16384" width="10.625" style="1"/>
  </cols>
  <sheetData>
    <row r="1" spans="1:9" s="2" customFormat="1" ht="12">
      <c r="A1" s="3" t="s">
        <v>21</v>
      </c>
      <c r="B1" s="4"/>
      <c r="D1" s="3" t="s">
        <v>61</v>
      </c>
      <c r="H1" s="5"/>
    </row>
    <row r="2" spans="1:9" s="2" customFormat="1" ht="12">
      <c r="A2" s="3"/>
      <c r="B2" s="4"/>
      <c r="D2" s="3" t="s">
        <v>62</v>
      </c>
      <c r="H2" s="5"/>
    </row>
    <row r="3" spans="1:9" s="2" customFormat="1" ht="12">
      <c r="A3" s="3"/>
      <c r="B3" s="4"/>
      <c r="D3" s="3" t="s">
        <v>63</v>
      </c>
      <c r="H3" s="5"/>
    </row>
    <row r="4" spans="1:9" s="2" customFormat="1" ht="12">
      <c r="A4" s="3"/>
      <c r="B4" s="4"/>
      <c r="D4" s="3"/>
      <c r="H4" s="5"/>
    </row>
    <row r="5" spans="1:9" s="2" customFormat="1" ht="12">
      <c r="A5" s="3" t="s">
        <v>22</v>
      </c>
      <c r="B5" s="4"/>
      <c r="D5" s="3" t="s">
        <v>64</v>
      </c>
      <c r="H5" s="5"/>
    </row>
    <row r="6" spans="1:9" s="2" customFormat="1" ht="12">
      <c r="A6" s="3"/>
      <c r="B6" s="4"/>
      <c r="D6" s="3"/>
      <c r="H6" s="5"/>
    </row>
    <row r="7" spans="1:9" s="2" customFormat="1" ht="12">
      <c r="A7" s="3" t="s">
        <v>23</v>
      </c>
      <c r="B7" s="4"/>
      <c r="D7" s="3" t="s">
        <v>65</v>
      </c>
      <c r="H7" s="5"/>
    </row>
    <row r="8" spans="1:9" s="2" customFormat="1">
      <c r="A8" s="3"/>
      <c r="B8" s="4"/>
      <c r="D8" s="3"/>
      <c r="F8" s="51" t="s">
        <v>227</v>
      </c>
      <c r="G8" s="52"/>
      <c r="H8" s="50"/>
    </row>
    <row r="9" spans="1:9" s="2" customFormat="1">
      <c r="A9" s="3" t="s">
        <v>20</v>
      </c>
      <c r="B9" s="4"/>
      <c r="D9" s="3" t="s">
        <v>191</v>
      </c>
      <c r="F9" s="52"/>
      <c r="G9" s="52"/>
      <c r="H9" s="50"/>
    </row>
    <row r="10" spans="1:9" s="2" customFormat="1">
      <c r="A10" s="3"/>
      <c r="B10" s="4"/>
      <c r="D10" s="3" t="s">
        <v>202</v>
      </c>
      <c r="F10" s="52"/>
      <c r="G10" s="52"/>
      <c r="H10" s="50"/>
    </row>
    <row r="11" spans="1:9" s="2" customFormat="1">
      <c r="A11" s="3"/>
      <c r="B11" s="4"/>
      <c r="D11" s="3" t="s">
        <v>226</v>
      </c>
      <c r="F11" s="52"/>
      <c r="G11" s="52"/>
      <c r="H11" s="50"/>
    </row>
    <row r="12" spans="1:9" s="2" customFormat="1">
      <c r="A12" s="3"/>
      <c r="B12" s="4"/>
      <c r="D12" s="3"/>
      <c r="E12" s="3"/>
      <c r="F12" s="52"/>
      <c r="G12" s="52"/>
      <c r="H12" s="50"/>
    </row>
    <row r="13" spans="1:9" s="2" customFormat="1">
      <c r="A13" s="3" t="s">
        <v>6</v>
      </c>
      <c r="B13" s="4"/>
      <c r="D13" s="3" t="s">
        <v>97</v>
      </c>
      <c r="F13" s="50"/>
      <c r="G13" s="50"/>
      <c r="H13" s="50"/>
    </row>
    <row r="14" spans="1:9" s="2" customFormat="1" ht="12">
      <c r="A14" s="56" t="s">
        <v>4</v>
      </c>
      <c r="B14" s="56"/>
      <c r="C14" s="56"/>
      <c r="D14" s="6"/>
      <c r="E14" s="6"/>
      <c r="F14" s="6"/>
      <c r="G14" s="6"/>
      <c r="H14" s="7"/>
      <c r="I14" s="53">
        <f>SUM(I17:I26)</f>
        <v>55200</v>
      </c>
    </row>
    <row r="15" spans="1:9" s="2" customFormat="1" ht="12">
      <c r="A15" s="57"/>
      <c r="B15" s="57"/>
      <c r="C15" s="57"/>
      <c r="D15" s="8"/>
      <c r="E15" s="8"/>
      <c r="F15" s="8"/>
      <c r="G15" s="8"/>
      <c r="H15" s="9"/>
      <c r="I15" s="78"/>
    </row>
    <row r="16" spans="1:9" s="2" customFormat="1" ht="12">
      <c r="A16" s="10"/>
      <c r="B16" s="10" t="s">
        <v>7</v>
      </c>
      <c r="C16" s="11" t="s">
        <v>8</v>
      </c>
      <c r="G16" s="2" t="s">
        <v>26</v>
      </c>
      <c r="H16" s="10"/>
      <c r="I16" s="10"/>
    </row>
    <row r="17" spans="1:9" s="2" customFormat="1" ht="12">
      <c r="A17" s="2" t="s">
        <v>35</v>
      </c>
      <c r="B17" s="13">
        <v>2</v>
      </c>
      <c r="C17" s="2" t="s">
        <v>204</v>
      </c>
      <c r="G17" s="14">
        <v>17880</v>
      </c>
      <c r="H17" s="5"/>
      <c r="I17" s="5">
        <f>G17*B17</f>
        <v>35760</v>
      </c>
    </row>
    <row r="18" spans="1:9" s="2" customFormat="1" ht="12">
      <c r="B18" s="13"/>
      <c r="C18" s="2" t="s">
        <v>205</v>
      </c>
      <c r="G18" s="14"/>
      <c r="H18" s="5"/>
      <c r="I18" s="5"/>
    </row>
    <row r="19" spans="1:9" s="2" customFormat="1" ht="12">
      <c r="B19" s="13"/>
      <c r="C19" s="2" t="s">
        <v>224</v>
      </c>
      <c r="G19" s="14"/>
      <c r="H19" s="5"/>
      <c r="I19" s="5"/>
    </row>
    <row r="20" spans="1:9" s="2" customFormat="1" ht="12">
      <c r="B20" s="13"/>
      <c r="C20" s="2" t="s">
        <v>223</v>
      </c>
      <c r="G20" s="14"/>
      <c r="H20" s="5"/>
      <c r="I20" s="5"/>
    </row>
    <row r="21" spans="1:9" s="2" customFormat="1" ht="12">
      <c r="B21" s="13"/>
      <c r="C21" s="48" t="s">
        <v>203</v>
      </c>
      <c r="G21" s="14"/>
      <c r="H21" s="5"/>
      <c r="I21" s="5"/>
    </row>
    <row r="22" spans="1:9" s="2" customFormat="1" ht="12">
      <c r="A22" s="2" t="s">
        <v>36</v>
      </c>
      <c r="B22" s="13">
        <v>1</v>
      </c>
      <c r="C22" s="2" t="s">
        <v>225</v>
      </c>
      <c r="G22" s="14">
        <v>11480</v>
      </c>
      <c r="H22" s="5"/>
      <c r="I22" s="5">
        <f>G22*B22</f>
        <v>11480</v>
      </c>
    </row>
    <row r="23" spans="1:9" s="2" customFormat="1" ht="12">
      <c r="B23" s="13"/>
      <c r="C23" s="2" t="s">
        <v>206</v>
      </c>
      <c r="G23" s="14"/>
      <c r="H23" s="5"/>
      <c r="I23" s="5"/>
    </row>
    <row r="24" spans="1:9" s="2" customFormat="1" ht="12">
      <c r="B24" s="13"/>
      <c r="C24" s="2" t="s">
        <v>207</v>
      </c>
      <c r="G24" s="14"/>
      <c r="H24" s="5"/>
      <c r="I24" s="5"/>
    </row>
    <row r="25" spans="1:9" s="2" customFormat="1" ht="12">
      <c r="B25" s="13"/>
      <c r="C25" s="48" t="s">
        <v>203</v>
      </c>
      <c r="G25" s="14"/>
      <c r="H25" s="5"/>
      <c r="I25" s="5"/>
    </row>
    <row r="26" spans="1:9" s="2" customFormat="1" ht="12">
      <c r="A26" s="2" t="s">
        <v>37</v>
      </c>
      <c r="B26" s="13">
        <v>1</v>
      </c>
      <c r="C26" s="2" t="s">
        <v>208</v>
      </c>
      <c r="G26" s="14">
        <v>7960</v>
      </c>
      <c r="H26" s="5"/>
      <c r="I26" s="5">
        <f>G26*B26</f>
        <v>7960</v>
      </c>
    </row>
    <row r="27" spans="1:9" s="2" customFormat="1" ht="12">
      <c r="B27" s="13"/>
      <c r="C27" s="48" t="s">
        <v>203</v>
      </c>
      <c r="G27" s="14"/>
      <c r="H27" s="5"/>
      <c r="I27" s="5"/>
    </row>
    <row r="28" spans="1:9" s="2" customFormat="1" ht="12">
      <c r="A28" s="56" t="s">
        <v>5</v>
      </c>
      <c r="B28" s="79"/>
      <c r="C28" s="79"/>
      <c r="D28" s="79"/>
      <c r="E28" s="58"/>
      <c r="F28" s="6"/>
      <c r="G28" s="16"/>
      <c r="H28" s="7"/>
      <c r="I28" s="68">
        <f>SUM(I31:I38)</f>
        <v>8061</v>
      </c>
    </row>
    <row r="29" spans="1:9" s="2" customFormat="1" ht="12">
      <c r="A29" s="80"/>
      <c r="B29" s="80"/>
      <c r="C29" s="80"/>
      <c r="D29" s="80"/>
      <c r="E29" s="59"/>
      <c r="F29" s="8"/>
      <c r="G29" s="17"/>
      <c r="H29" s="9"/>
      <c r="I29" s="78"/>
    </row>
    <row r="30" spans="1:9" s="2" customFormat="1" ht="12">
      <c r="A30" s="36"/>
      <c r="B30" s="36"/>
      <c r="C30" s="36"/>
      <c r="D30" s="36"/>
      <c r="E30" s="37"/>
      <c r="G30" s="14"/>
      <c r="H30" s="15"/>
      <c r="I30" s="38"/>
    </row>
    <row r="31" spans="1:9" s="2" customFormat="1" ht="12">
      <c r="A31" s="2" t="s">
        <v>35</v>
      </c>
      <c r="B31" s="13">
        <v>1</v>
      </c>
      <c r="C31" s="2" t="s">
        <v>162</v>
      </c>
      <c r="G31" s="14">
        <v>3800</v>
      </c>
      <c r="H31" s="5"/>
      <c r="I31" s="5">
        <f>G31*B31</f>
        <v>3800</v>
      </c>
    </row>
    <row r="32" spans="1:9" s="2" customFormat="1" ht="12">
      <c r="A32" s="2" t="s">
        <v>36</v>
      </c>
      <c r="B32" s="39">
        <v>1</v>
      </c>
      <c r="C32" s="2" t="s">
        <v>161</v>
      </c>
      <c r="G32" s="14">
        <v>565</v>
      </c>
      <c r="H32" s="5"/>
      <c r="I32" s="40">
        <f>G32*B32</f>
        <v>565</v>
      </c>
    </row>
    <row r="33" spans="1:9" s="2" customFormat="1" ht="12">
      <c r="A33" s="2" t="s">
        <v>37</v>
      </c>
      <c r="B33" s="39">
        <v>2</v>
      </c>
      <c r="C33" s="2" t="s">
        <v>192</v>
      </c>
      <c r="G33" s="14">
        <v>139</v>
      </c>
      <c r="H33" s="5"/>
      <c r="I33" s="40">
        <f t="shared" ref="I33:I38" si="0">G33*B33</f>
        <v>278</v>
      </c>
    </row>
    <row r="34" spans="1:9" s="2" customFormat="1" ht="12">
      <c r="A34" s="2" t="s">
        <v>38</v>
      </c>
      <c r="B34" s="39">
        <v>2</v>
      </c>
      <c r="C34" s="2" t="s">
        <v>194</v>
      </c>
      <c r="G34" s="14">
        <v>69</v>
      </c>
      <c r="H34" s="5"/>
      <c r="I34" s="40">
        <f t="shared" si="0"/>
        <v>138</v>
      </c>
    </row>
    <row r="35" spans="1:9" s="2" customFormat="1" ht="12">
      <c r="A35" s="2" t="s">
        <v>39</v>
      </c>
      <c r="B35" s="39">
        <v>1</v>
      </c>
      <c r="C35" s="2" t="s">
        <v>193</v>
      </c>
      <c r="G35" s="14">
        <v>610</v>
      </c>
      <c r="H35" s="5"/>
      <c r="I35" s="40">
        <f t="shared" si="0"/>
        <v>610</v>
      </c>
    </row>
    <row r="36" spans="1:9" s="2" customFormat="1" ht="12">
      <c r="A36" s="2" t="s">
        <v>40</v>
      </c>
      <c r="B36" s="39">
        <v>2</v>
      </c>
      <c r="C36" s="2" t="s">
        <v>66</v>
      </c>
      <c r="G36" s="14">
        <v>415</v>
      </c>
      <c r="H36" s="5"/>
      <c r="I36" s="5">
        <f t="shared" si="0"/>
        <v>830</v>
      </c>
    </row>
    <row r="37" spans="1:9" s="2" customFormat="1" ht="12">
      <c r="A37" s="2" t="s">
        <v>41</v>
      </c>
      <c r="B37" s="39">
        <v>3</v>
      </c>
      <c r="C37" s="41" t="s">
        <v>67</v>
      </c>
      <c r="G37" s="14">
        <v>415</v>
      </c>
      <c r="H37" s="5"/>
      <c r="I37" s="5">
        <f t="shared" si="0"/>
        <v>1245</v>
      </c>
    </row>
    <row r="38" spans="1:9" s="2" customFormat="1" ht="12">
      <c r="A38" s="2" t="s">
        <v>42</v>
      </c>
      <c r="B38" s="39">
        <v>1</v>
      </c>
      <c r="C38" s="2" t="s">
        <v>68</v>
      </c>
      <c r="G38" s="14">
        <v>595</v>
      </c>
      <c r="H38" s="5"/>
      <c r="I38" s="15">
        <f t="shared" si="0"/>
        <v>595</v>
      </c>
    </row>
    <row r="39" spans="1:9" s="2" customFormat="1" ht="12">
      <c r="B39" s="12"/>
      <c r="G39" s="14"/>
      <c r="H39" s="15"/>
      <c r="I39" s="40"/>
    </row>
    <row r="40" spans="1:9" s="2" customFormat="1" ht="12">
      <c r="A40" s="56" t="s">
        <v>34</v>
      </c>
      <c r="B40" s="56"/>
      <c r="C40" s="56"/>
      <c r="D40" s="56"/>
      <c r="E40" s="56"/>
      <c r="F40" s="56"/>
      <c r="G40" s="56"/>
      <c r="H40" s="56"/>
      <c r="I40" s="53">
        <f>SUM(I43:I75)</f>
        <v>4615</v>
      </c>
    </row>
    <row r="41" spans="1:9" s="2" customFormat="1" ht="12">
      <c r="A41" s="57"/>
      <c r="B41" s="57"/>
      <c r="C41" s="57"/>
      <c r="D41" s="57"/>
      <c r="E41" s="57"/>
      <c r="F41" s="57"/>
      <c r="G41" s="57"/>
      <c r="H41" s="57"/>
      <c r="I41" s="54"/>
    </row>
    <row r="42" spans="1:9" s="2" customFormat="1" ht="12">
      <c r="B42" s="18"/>
      <c r="G42" s="5"/>
      <c r="H42" s="5"/>
    </row>
    <row r="43" spans="1:9" s="2" customFormat="1" ht="12">
      <c r="A43" s="2" t="s">
        <v>50</v>
      </c>
      <c r="B43" s="19">
        <v>1</v>
      </c>
      <c r="C43" s="2" t="s">
        <v>51</v>
      </c>
      <c r="G43" s="14">
        <v>78</v>
      </c>
      <c r="H43" s="5"/>
      <c r="I43" s="14">
        <f>G43*B43</f>
        <v>78</v>
      </c>
    </row>
    <row r="44" spans="1:9" s="2" customFormat="1" ht="12">
      <c r="A44" s="2" t="s">
        <v>52</v>
      </c>
      <c r="B44" s="19">
        <v>1</v>
      </c>
      <c r="C44" s="2" t="s">
        <v>53</v>
      </c>
      <c r="G44" s="14">
        <v>78</v>
      </c>
      <c r="H44" s="5"/>
      <c r="I44" s="14">
        <f t="shared" ref="I44:I52" si="1">G44*B44</f>
        <v>78</v>
      </c>
    </row>
    <row r="45" spans="1:9" s="2" customFormat="1" ht="12">
      <c r="A45" s="2" t="s">
        <v>37</v>
      </c>
      <c r="B45" s="19">
        <v>2</v>
      </c>
      <c r="C45" s="2" t="s">
        <v>69</v>
      </c>
      <c r="G45" s="14">
        <v>58</v>
      </c>
      <c r="H45" s="5"/>
      <c r="I45" s="14">
        <f>G45*B45</f>
        <v>116</v>
      </c>
    </row>
    <row r="46" spans="1:9" s="2" customFormat="1" ht="12">
      <c r="A46" s="2" t="s">
        <v>38</v>
      </c>
      <c r="B46" s="19">
        <v>1</v>
      </c>
      <c r="C46" s="2" t="s">
        <v>70</v>
      </c>
      <c r="G46" s="14">
        <v>58</v>
      </c>
      <c r="H46" s="5"/>
      <c r="I46" s="14">
        <f>G46*B46</f>
        <v>58</v>
      </c>
    </row>
    <row r="47" spans="1:9" s="2" customFormat="1" ht="12">
      <c r="A47" s="2" t="s">
        <v>39</v>
      </c>
      <c r="B47" s="19">
        <v>4</v>
      </c>
      <c r="C47" s="2" t="s">
        <v>163</v>
      </c>
      <c r="G47" s="14">
        <v>48</v>
      </c>
      <c r="H47" s="5"/>
      <c r="I47" s="14">
        <f>G47*B47</f>
        <v>192</v>
      </c>
    </row>
    <row r="48" spans="1:9" s="2" customFormat="1" ht="12">
      <c r="B48" s="19"/>
      <c r="C48" s="2" t="s">
        <v>195</v>
      </c>
      <c r="G48" s="14"/>
      <c r="H48" s="5"/>
      <c r="I48" s="14"/>
    </row>
    <row r="49" spans="1:9" s="2" customFormat="1" ht="12">
      <c r="A49" s="2" t="s">
        <v>40</v>
      </c>
      <c r="B49" s="19">
        <v>1</v>
      </c>
      <c r="C49" s="2" t="s">
        <v>71</v>
      </c>
      <c r="G49" s="14">
        <v>78</v>
      </c>
      <c r="H49" s="5"/>
      <c r="I49" s="14">
        <f>G49*B49</f>
        <v>78</v>
      </c>
    </row>
    <row r="50" spans="1:9" s="2" customFormat="1" ht="12">
      <c r="A50" s="2" t="s">
        <v>41</v>
      </c>
      <c r="B50" s="19">
        <v>1</v>
      </c>
      <c r="C50" s="2" t="s">
        <v>196</v>
      </c>
      <c r="G50" s="14">
        <v>78</v>
      </c>
      <c r="H50" s="5"/>
      <c r="I50" s="14">
        <f t="shared" si="1"/>
        <v>78</v>
      </c>
    </row>
    <row r="51" spans="1:9" s="2" customFormat="1" ht="12">
      <c r="A51" s="2" t="s">
        <v>42</v>
      </c>
      <c r="B51" s="19">
        <v>1</v>
      </c>
      <c r="C51" s="2" t="s">
        <v>209</v>
      </c>
      <c r="G51" s="14">
        <v>415</v>
      </c>
      <c r="H51" s="5"/>
      <c r="I51" s="14">
        <f t="shared" si="1"/>
        <v>415</v>
      </c>
    </row>
    <row r="52" spans="1:9" s="2" customFormat="1" ht="12">
      <c r="A52" s="2" t="s">
        <v>43</v>
      </c>
      <c r="B52" s="19">
        <v>1</v>
      </c>
      <c r="C52" s="2" t="s">
        <v>72</v>
      </c>
      <c r="G52" s="14">
        <v>68</v>
      </c>
      <c r="H52" s="5"/>
      <c r="I52" s="14">
        <f t="shared" si="1"/>
        <v>68</v>
      </c>
    </row>
    <row r="53" spans="1:9" s="2" customFormat="1" ht="12">
      <c r="B53" s="19"/>
      <c r="G53" s="14"/>
      <c r="H53" s="5"/>
      <c r="I53" s="14"/>
    </row>
    <row r="54" spans="1:9" s="2" customFormat="1" ht="12">
      <c r="A54" s="11" t="s">
        <v>30</v>
      </c>
      <c r="B54" s="10"/>
      <c r="C54" s="21"/>
      <c r="D54" s="12"/>
      <c r="E54" s="29" t="s">
        <v>31</v>
      </c>
      <c r="F54" s="12" t="s">
        <v>65</v>
      </c>
      <c r="G54" s="55" t="s">
        <v>97</v>
      </c>
      <c r="H54" s="55"/>
      <c r="I54" s="35" t="s">
        <v>32</v>
      </c>
    </row>
    <row r="55" spans="1:9" s="2" customFormat="1" ht="12">
      <c r="B55" s="19"/>
      <c r="G55" s="14"/>
      <c r="H55" s="5"/>
      <c r="I55" s="14"/>
    </row>
    <row r="56" spans="1:9" s="2" customFormat="1" ht="12">
      <c r="A56" s="56" t="s">
        <v>80</v>
      </c>
      <c r="B56" s="56"/>
      <c r="C56" s="56"/>
      <c r="D56" s="56"/>
      <c r="E56" s="56"/>
      <c r="F56" s="56"/>
      <c r="G56" s="56"/>
      <c r="H56" s="56"/>
      <c r="I56" s="53"/>
    </row>
    <row r="57" spans="1:9" s="2" customFormat="1" ht="12">
      <c r="A57" s="57"/>
      <c r="B57" s="57"/>
      <c r="C57" s="57"/>
      <c r="D57" s="57"/>
      <c r="E57" s="57"/>
      <c r="F57" s="57"/>
      <c r="G57" s="57"/>
      <c r="H57" s="57"/>
      <c r="I57" s="54"/>
    </row>
    <row r="58" spans="1:9" s="2" customFormat="1" ht="12">
      <c r="B58" s="19"/>
      <c r="G58" s="14"/>
      <c r="H58" s="5"/>
      <c r="I58" s="14"/>
    </row>
    <row r="59" spans="1:9" s="2" customFormat="1" ht="12">
      <c r="A59" s="2" t="s">
        <v>44</v>
      </c>
      <c r="B59" s="19">
        <v>1</v>
      </c>
      <c r="C59" s="2" t="s">
        <v>73</v>
      </c>
      <c r="G59" s="14">
        <v>78</v>
      </c>
      <c r="H59" s="5"/>
      <c r="I59" s="14">
        <f>G59*B59</f>
        <v>78</v>
      </c>
    </row>
    <row r="60" spans="1:9" s="2" customFormat="1" ht="12">
      <c r="A60" s="2" t="s">
        <v>89</v>
      </c>
      <c r="B60" s="19">
        <v>1</v>
      </c>
      <c r="C60" s="2" t="s">
        <v>74</v>
      </c>
      <c r="G60" s="14">
        <v>78</v>
      </c>
      <c r="H60" s="5"/>
      <c r="I60" s="14">
        <f t="shared" ref="I60:I63" si="2">G60*B60</f>
        <v>78</v>
      </c>
    </row>
    <row r="61" spans="1:9" s="2" customFormat="1" ht="12">
      <c r="A61" s="2" t="s">
        <v>45</v>
      </c>
      <c r="B61" s="19">
        <v>1</v>
      </c>
      <c r="C61" s="2" t="s">
        <v>210</v>
      </c>
      <c r="G61" s="14">
        <v>280</v>
      </c>
      <c r="H61" s="5"/>
      <c r="I61" s="14">
        <f t="shared" si="2"/>
        <v>280</v>
      </c>
    </row>
    <row r="62" spans="1:9" s="2" customFormat="1" ht="12">
      <c r="A62" s="2" t="s">
        <v>46</v>
      </c>
      <c r="B62" s="19">
        <v>1</v>
      </c>
      <c r="C62" s="2" t="s">
        <v>75</v>
      </c>
      <c r="G62" s="14">
        <v>48</v>
      </c>
      <c r="H62" s="5"/>
      <c r="I62" s="14">
        <f t="shared" si="2"/>
        <v>48</v>
      </c>
    </row>
    <row r="63" spans="1:9" s="2" customFormat="1" ht="12">
      <c r="A63" s="2" t="s">
        <v>47</v>
      </c>
      <c r="B63" s="46">
        <v>1</v>
      </c>
      <c r="C63" s="2" t="s">
        <v>76</v>
      </c>
      <c r="G63" s="14">
        <v>78</v>
      </c>
      <c r="H63" s="5"/>
      <c r="I63" s="14">
        <f t="shared" si="2"/>
        <v>78</v>
      </c>
    </row>
    <row r="64" spans="1:9" s="2" customFormat="1" ht="12">
      <c r="A64" s="2" t="s">
        <v>54</v>
      </c>
      <c r="B64" s="19">
        <v>1</v>
      </c>
      <c r="C64" s="2" t="s">
        <v>77</v>
      </c>
      <c r="G64" s="14">
        <v>78</v>
      </c>
      <c r="H64" s="5"/>
      <c r="I64" s="14">
        <f>G64*B64</f>
        <v>78</v>
      </c>
    </row>
    <row r="65" spans="1:9" s="2" customFormat="1" ht="12">
      <c r="A65" s="2" t="s">
        <v>55</v>
      </c>
      <c r="B65" s="19">
        <v>1</v>
      </c>
      <c r="C65" s="2" t="s">
        <v>78</v>
      </c>
      <c r="G65" s="14">
        <v>98</v>
      </c>
      <c r="H65" s="5"/>
      <c r="I65" s="14">
        <f t="shared" ref="I65:I73" si="3">G65*B65</f>
        <v>98</v>
      </c>
    </row>
    <row r="66" spans="1:9" s="2" customFormat="1" ht="12">
      <c r="A66" s="2" t="s">
        <v>90</v>
      </c>
      <c r="B66" s="19">
        <v>1</v>
      </c>
      <c r="C66" s="2" t="s">
        <v>79</v>
      </c>
      <c r="G66" s="14">
        <v>98</v>
      </c>
      <c r="H66" s="5"/>
      <c r="I66" s="14">
        <f t="shared" si="3"/>
        <v>98</v>
      </c>
    </row>
    <row r="67" spans="1:9" s="2" customFormat="1" ht="12">
      <c r="A67" s="2" t="s">
        <v>56</v>
      </c>
      <c r="B67" s="19">
        <v>2</v>
      </c>
      <c r="C67" s="2" t="s">
        <v>81</v>
      </c>
      <c r="G67" s="14">
        <v>68</v>
      </c>
      <c r="H67" s="5"/>
      <c r="I67" s="14">
        <f t="shared" si="3"/>
        <v>136</v>
      </c>
    </row>
    <row r="68" spans="1:9" s="2" customFormat="1" ht="12">
      <c r="A68" s="2" t="s">
        <v>90</v>
      </c>
      <c r="B68" s="19">
        <v>1</v>
      </c>
      <c r="C68" s="2" t="s">
        <v>82</v>
      </c>
      <c r="G68" s="14">
        <v>415</v>
      </c>
      <c r="H68" s="5"/>
      <c r="I68" s="14">
        <f t="shared" si="3"/>
        <v>415</v>
      </c>
    </row>
    <row r="69" spans="1:9" s="2" customFormat="1" ht="12">
      <c r="A69" s="2" t="s">
        <v>91</v>
      </c>
      <c r="B69" s="12">
        <v>5</v>
      </c>
      <c r="C69" s="2" t="s">
        <v>83</v>
      </c>
      <c r="G69" s="14">
        <v>58</v>
      </c>
      <c r="H69" s="5"/>
      <c r="I69" s="14">
        <f t="shared" si="3"/>
        <v>290</v>
      </c>
    </row>
    <row r="70" spans="1:9" s="2" customFormat="1" ht="12">
      <c r="A70" s="2" t="s">
        <v>92</v>
      </c>
      <c r="B70" s="12">
        <v>2</v>
      </c>
      <c r="C70" s="2" t="s">
        <v>84</v>
      </c>
      <c r="G70" s="14">
        <v>78</v>
      </c>
      <c r="H70" s="5"/>
      <c r="I70" s="14">
        <f>G70*B70</f>
        <v>156</v>
      </c>
    </row>
    <row r="71" spans="1:9" s="2" customFormat="1" ht="12">
      <c r="A71" s="2" t="s">
        <v>93</v>
      </c>
      <c r="B71" s="12">
        <v>1</v>
      </c>
      <c r="C71" s="2" t="s">
        <v>85</v>
      </c>
      <c r="G71" s="14">
        <v>415</v>
      </c>
      <c r="H71" s="5"/>
      <c r="I71" s="14">
        <f>G71*B71</f>
        <v>415</v>
      </c>
    </row>
    <row r="72" spans="1:9" s="2" customFormat="1" ht="12">
      <c r="A72" s="2" t="s">
        <v>94</v>
      </c>
      <c r="B72" s="12">
        <v>1</v>
      </c>
      <c r="C72" s="2" t="s">
        <v>86</v>
      </c>
      <c r="G72" s="14">
        <v>78</v>
      </c>
      <c r="H72" s="5"/>
      <c r="I72" s="14">
        <f>G72*B72</f>
        <v>78</v>
      </c>
    </row>
    <row r="73" spans="1:9" s="2" customFormat="1" ht="12">
      <c r="A73" s="2" t="s">
        <v>95</v>
      </c>
      <c r="B73" s="12">
        <v>6</v>
      </c>
      <c r="C73" s="2" t="s">
        <v>87</v>
      </c>
      <c r="G73" s="14">
        <v>58</v>
      </c>
      <c r="H73" s="5"/>
      <c r="I73" s="14">
        <f t="shared" si="3"/>
        <v>348</v>
      </c>
    </row>
    <row r="74" spans="1:9" s="2" customFormat="1" ht="12">
      <c r="B74" s="39"/>
      <c r="C74" s="2" t="s">
        <v>88</v>
      </c>
      <c r="G74" s="14"/>
      <c r="H74" s="5"/>
      <c r="I74" s="40"/>
    </row>
    <row r="75" spans="1:9" s="2" customFormat="1" ht="12">
      <c r="A75" s="2" t="s">
        <v>96</v>
      </c>
      <c r="B75" s="39">
        <v>1</v>
      </c>
      <c r="C75" s="2" t="s">
        <v>211</v>
      </c>
      <c r="G75" s="14">
        <v>780</v>
      </c>
      <c r="H75" s="5"/>
      <c r="I75" s="40">
        <f>G75*B75</f>
        <v>780</v>
      </c>
    </row>
    <row r="76" spans="1:9" s="2" customFormat="1" ht="12">
      <c r="B76" s="39"/>
      <c r="G76" s="14"/>
      <c r="H76" s="5"/>
      <c r="I76" s="40"/>
    </row>
    <row r="77" spans="1:9" s="2" customFormat="1" ht="12">
      <c r="A77" s="56" t="s">
        <v>197</v>
      </c>
      <c r="B77" s="56"/>
      <c r="C77" s="56"/>
      <c r="D77" s="56"/>
      <c r="E77" s="56"/>
      <c r="F77" s="56"/>
      <c r="G77" s="56"/>
      <c r="H77" s="7"/>
      <c r="I77" s="53">
        <f>SUM(I80:I92)</f>
        <v>3008</v>
      </c>
    </row>
    <row r="78" spans="1:9" s="2" customFormat="1" ht="12">
      <c r="A78" s="57"/>
      <c r="B78" s="57"/>
      <c r="C78" s="57"/>
      <c r="D78" s="57"/>
      <c r="E78" s="57"/>
      <c r="F78" s="57"/>
      <c r="G78" s="57"/>
      <c r="H78" s="9"/>
      <c r="I78" s="54"/>
    </row>
    <row r="79" spans="1:9" s="2" customFormat="1" ht="12">
      <c r="H79" s="5"/>
    </row>
    <row r="80" spans="1:9" s="2" customFormat="1" ht="12">
      <c r="A80" s="2" t="s">
        <v>50</v>
      </c>
      <c r="B80" s="12">
        <v>1</v>
      </c>
      <c r="C80" s="2" t="s">
        <v>212</v>
      </c>
      <c r="G80" s="14">
        <v>1095</v>
      </c>
      <c r="H80" s="5"/>
      <c r="I80" s="14">
        <f>G80*B80</f>
        <v>1095</v>
      </c>
    </row>
    <row r="81" spans="1:9" s="2" customFormat="1" ht="12">
      <c r="A81" s="2" t="s">
        <v>36</v>
      </c>
      <c r="B81" s="12">
        <v>2</v>
      </c>
      <c r="C81" s="2" t="s">
        <v>134</v>
      </c>
      <c r="G81" s="14">
        <v>58</v>
      </c>
      <c r="H81" s="5"/>
      <c r="I81" s="14">
        <f>G81*B81</f>
        <v>116</v>
      </c>
    </row>
    <row r="82" spans="1:9" s="2" customFormat="1" ht="12">
      <c r="A82" s="2" t="s">
        <v>37</v>
      </c>
      <c r="B82" s="12">
        <v>2</v>
      </c>
      <c r="C82" s="2" t="s">
        <v>129</v>
      </c>
      <c r="G82" s="14">
        <v>175</v>
      </c>
      <c r="H82" s="5"/>
      <c r="I82" s="14">
        <f t="shared" ref="I82:I90" si="4">G82*B82</f>
        <v>350</v>
      </c>
    </row>
    <row r="83" spans="1:9" s="2" customFormat="1" ht="12">
      <c r="A83" s="2" t="s">
        <v>38</v>
      </c>
      <c r="B83" s="12">
        <v>1</v>
      </c>
      <c r="C83" s="2" t="s">
        <v>120</v>
      </c>
      <c r="G83" s="14">
        <v>265</v>
      </c>
      <c r="H83" s="5"/>
      <c r="I83" s="14">
        <f>G83*B83</f>
        <v>265</v>
      </c>
    </row>
    <row r="84" spans="1:9" s="2" customFormat="1" ht="12">
      <c r="A84" s="2" t="s">
        <v>39</v>
      </c>
      <c r="B84" s="12">
        <v>1</v>
      </c>
      <c r="C84" s="2" t="s">
        <v>103</v>
      </c>
      <c r="G84" s="14">
        <v>58</v>
      </c>
      <c r="H84" s="5"/>
      <c r="I84" s="14">
        <f t="shared" si="4"/>
        <v>58</v>
      </c>
    </row>
    <row r="85" spans="1:9" s="2" customFormat="1" ht="12">
      <c r="A85" s="2" t="s">
        <v>40</v>
      </c>
      <c r="B85" s="12">
        <v>2</v>
      </c>
      <c r="C85" s="2" t="s">
        <v>135</v>
      </c>
      <c r="G85" s="14">
        <v>58</v>
      </c>
      <c r="H85" s="5"/>
      <c r="I85" s="14">
        <f t="shared" si="4"/>
        <v>116</v>
      </c>
    </row>
    <row r="86" spans="1:9" s="2" customFormat="1" ht="12">
      <c r="A86" s="2" t="s">
        <v>41</v>
      </c>
      <c r="B86" s="12">
        <v>4</v>
      </c>
      <c r="C86" s="2" t="s">
        <v>136</v>
      </c>
      <c r="G86" s="14">
        <v>58</v>
      </c>
      <c r="H86" s="5"/>
      <c r="I86" s="14">
        <f t="shared" si="4"/>
        <v>232</v>
      </c>
    </row>
    <row r="87" spans="1:9" s="2" customFormat="1" ht="12">
      <c r="A87" s="2" t="s">
        <v>42</v>
      </c>
      <c r="B87" s="12">
        <v>2</v>
      </c>
      <c r="C87" s="2" t="s">
        <v>137</v>
      </c>
      <c r="G87" s="14">
        <v>58</v>
      </c>
      <c r="H87" s="5"/>
      <c r="I87" s="14">
        <f t="shared" si="4"/>
        <v>116</v>
      </c>
    </row>
    <row r="88" spans="1:9" s="2" customFormat="1" ht="12">
      <c r="A88" s="2" t="s">
        <v>43</v>
      </c>
      <c r="B88" s="12">
        <v>2</v>
      </c>
      <c r="C88" s="2" t="s">
        <v>138</v>
      </c>
      <c r="G88" s="14">
        <v>48</v>
      </c>
      <c r="H88" s="5"/>
      <c r="I88" s="14">
        <f t="shared" si="4"/>
        <v>96</v>
      </c>
    </row>
    <row r="89" spans="1:9" s="2" customFormat="1" ht="12">
      <c r="A89" s="2" t="s">
        <v>44</v>
      </c>
      <c r="B89" s="12">
        <v>1</v>
      </c>
      <c r="C89" s="2" t="s">
        <v>139</v>
      </c>
      <c r="G89" s="14">
        <v>48</v>
      </c>
      <c r="H89" s="5"/>
      <c r="I89" s="14">
        <f t="shared" si="4"/>
        <v>48</v>
      </c>
    </row>
    <row r="90" spans="1:9" s="2" customFormat="1" ht="12">
      <c r="A90" s="2" t="s">
        <v>89</v>
      </c>
      <c r="B90" s="12">
        <v>1</v>
      </c>
      <c r="C90" s="2" t="s">
        <v>141</v>
      </c>
      <c r="G90" s="14">
        <v>48</v>
      </c>
      <c r="H90" s="5"/>
      <c r="I90" s="14">
        <f t="shared" si="4"/>
        <v>48</v>
      </c>
    </row>
    <row r="91" spans="1:9" s="2" customFormat="1" ht="12">
      <c r="A91" s="2" t="s">
        <v>45</v>
      </c>
      <c r="B91" s="12">
        <v>2</v>
      </c>
      <c r="C91" s="2" t="s">
        <v>140</v>
      </c>
      <c r="G91" s="14">
        <v>210</v>
      </c>
      <c r="H91" s="5"/>
      <c r="I91" s="14">
        <f t="shared" ref="I91:I92" si="5">G91*B91</f>
        <v>420</v>
      </c>
    </row>
    <row r="92" spans="1:9" s="2" customFormat="1" ht="12">
      <c r="A92" s="2" t="s">
        <v>46</v>
      </c>
      <c r="B92" s="12">
        <v>1</v>
      </c>
      <c r="C92" s="2" t="s">
        <v>213</v>
      </c>
      <c r="G92" s="14">
        <v>48</v>
      </c>
      <c r="H92" s="5"/>
      <c r="I92" s="14">
        <f t="shared" si="5"/>
        <v>48</v>
      </c>
    </row>
    <row r="93" spans="1:9" s="2" customFormat="1" ht="12">
      <c r="B93" s="39"/>
      <c r="G93" s="14"/>
      <c r="H93" s="5"/>
      <c r="I93" s="40"/>
    </row>
    <row r="94" spans="1:9" s="2" customFormat="1" ht="12">
      <c r="A94" s="56" t="s">
        <v>165</v>
      </c>
      <c r="B94" s="56"/>
      <c r="C94" s="56"/>
      <c r="D94" s="56"/>
      <c r="E94" s="56"/>
      <c r="F94" s="56"/>
      <c r="G94" s="56"/>
      <c r="H94" s="7"/>
      <c r="I94" s="53">
        <f>SUM(I97:I104)</f>
        <v>2990</v>
      </c>
    </row>
    <row r="95" spans="1:9" s="2" customFormat="1" ht="12">
      <c r="A95" s="57"/>
      <c r="B95" s="57"/>
      <c r="C95" s="57"/>
      <c r="D95" s="57"/>
      <c r="E95" s="57"/>
      <c r="F95" s="57"/>
      <c r="G95" s="57"/>
      <c r="H95" s="9"/>
      <c r="I95" s="54"/>
    </row>
    <row r="96" spans="1:9" s="2" customFormat="1" ht="12">
      <c r="H96" s="5"/>
    </row>
    <row r="97" spans="1:9" s="2" customFormat="1" ht="12">
      <c r="A97" s="2" t="s">
        <v>50</v>
      </c>
      <c r="B97" s="12">
        <v>1</v>
      </c>
      <c r="C97" s="2" t="s">
        <v>214</v>
      </c>
      <c r="G97" s="14">
        <v>1195</v>
      </c>
      <c r="H97" s="5"/>
      <c r="I97" s="14">
        <f t="shared" ref="I97:I104" si="6">G97*B97</f>
        <v>1195</v>
      </c>
    </row>
    <row r="98" spans="1:9" s="2" customFormat="1" ht="12">
      <c r="A98" s="2" t="s">
        <v>36</v>
      </c>
      <c r="B98" s="12">
        <v>2</v>
      </c>
      <c r="C98" s="2" t="s">
        <v>142</v>
      </c>
      <c r="G98" s="14">
        <v>335</v>
      </c>
      <c r="H98" s="5"/>
      <c r="I98" s="14">
        <f t="shared" si="6"/>
        <v>670</v>
      </c>
    </row>
    <row r="99" spans="1:9" s="2" customFormat="1" ht="12">
      <c r="A99" s="2" t="s">
        <v>37</v>
      </c>
      <c r="B99" s="12">
        <v>2</v>
      </c>
      <c r="C99" s="2" t="s">
        <v>143</v>
      </c>
      <c r="G99" s="14">
        <v>58</v>
      </c>
      <c r="H99" s="5"/>
      <c r="I99" s="14">
        <f t="shared" si="6"/>
        <v>116</v>
      </c>
    </row>
    <row r="100" spans="1:9" s="2" customFormat="1" ht="12">
      <c r="A100" s="2" t="s">
        <v>38</v>
      </c>
      <c r="B100" s="12">
        <v>2</v>
      </c>
      <c r="C100" s="2" t="s">
        <v>129</v>
      </c>
      <c r="G100" s="14">
        <v>175</v>
      </c>
      <c r="H100" s="5"/>
      <c r="I100" s="14">
        <f t="shared" si="6"/>
        <v>350</v>
      </c>
    </row>
    <row r="101" spans="1:9" s="2" customFormat="1" ht="12">
      <c r="A101" s="2" t="s">
        <v>39</v>
      </c>
      <c r="B101" s="12">
        <v>1</v>
      </c>
      <c r="C101" s="2" t="s">
        <v>147</v>
      </c>
      <c r="G101" s="14">
        <v>265</v>
      </c>
      <c r="H101" s="5"/>
      <c r="I101" s="14">
        <f t="shared" ref="I101" si="7">G101*B101</f>
        <v>265</v>
      </c>
    </row>
    <row r="102" spans="1:9" s="2" customFormat="1" ht="12">
      <c r="A102" s="2" t="s">
        <v>40</v>
      </c>
      <c r="B102" s="12">
        <v>1</v>
      </c>
      <c r="C102" s="2" t="s">
        <v>144</v>
      </c>
      <c r="G102" s="14">
        <v>58</v>
      </c>
      <c r="H102" s="5"/>
      <c r="I102" s="14">
        <f t="shared" si="6"/>
        <v>58</v>
      </c>
    </row>
    <row r="103" spans="1:9" s="2" customFormat="1" ht="12">
      <c r="A103" s="2" t="s">
        <v>41</v>
      </c>
      <c r="B103" s="12">
        <v>4</v>
      </c>
      <c r="C103" s="2" t="s">
        <v>145</v>
      </c>
      <c r="G103" s="14">
        <v>48</v>
      </c>
      <c r="H103" s="5"/>
      <c r="I103" s="14">
        <f t="shared" si="6"/>
        <v>192</v>
      </c>
    </row>
    <row r="104" spans="1:9" s="2" customFormat="1" ht="12">
      <c r="A104" s="2" t="s">
        <v>42</v>
      </c>
      <c r="B104" s="12">
        <v>3</v>
      </c>
      <c r="C104" s="2" t="s">
        <v>146</v>
      </c>
      <c r="G104" s="14">
        <v>48</v>
      </c>
      <c r="H104" s="5"/>
      <c r="I104" s="14">
        <f t="shared" si="6"/>
        <v>144</v>
      </c>
    </row>
    <row r="105" spans="1:9" s="2" customFormat="1" ht="12">
      <c r="B105" s="12"/>
      <c r="G105" s="14"/>
      <c r="H105" s="5"/>
      <c r="I105" s="14"/>
    </row>
    <row r="106" spans="1:9" s="2" customFormat="1" ht="12">
      <c r="B106" s="12"/>
      <c r="G106" s="14"/>
      <c r="H106" s="5"/>
      <c r="I106" s="14"/>
    </row>
    <row r="107" spans="1:9" s="2" customFormat="1" ht="12">
      <c r="A107" s="11" t="s">
        <v>30</v>
      </c>
      <c r="B107" s="10"/>
      <c r="C107" s="21"/>
      <c r="D107" s="12"/>
      <c r="E107" s="29" t="s">
        <v>31</v>
      </c>
      <c r="F107" s="12" t="s">
        <v>65</v>
      </c>
      <c r="G107" s="55" t="s">
        <v>97</v>
      </c>
      <c r="H107" s="55"/>
      <c r="I107" s="35" t="s">
        <v>49</v>
      </c>
    </row>
    <row r="108" spans="1:9" s="2" customFormat="1" ht="12">
      <c r="B108" s="39"/>
      <c r="G108" s="14"/>
      <c r="H108" s="5"/>
      <c r="I108" s="40"/>
    </row>
    <row r="109" spans="1:9" s="2" customFormat="1" ht="12">
      <c r="A109" s="56" t="s">
        <v>166</v>
      </c>
      <c r="B109" s="56"/>
      <c r="C109" s="56"/>
      <c r="D109" s="56"/>
      <c r="E109" s="56"/>
      <c r="F109" s="56"/>
      <c r="G109" s="56"/>
      <c r="H109" s="7"/>
      <c r="I109" s="53">
        <f>SUM(I112:I117)</f>
        <v>1173</v>
      </c>
    </row>
    <row r="110" spans="1:9" s="2" customFormat="1" ht="12">
      <c r="A110" s="57"/>
      <c r="B110" s="57"/>
      <c r="C110" s="57"/>
      <c r="D110" s="57"/>
      <c r="E110" s="57"/>
      <c r="F110" s="57"/>
      <c r="G110" s="57"/>
      <c r="H110" s="9"/>
      <c r="I110" s="54"/>
    </row>
    <row r="111" spans="1:9" s="2" customFormat="1" ht="12">
      <c r="H111" s="5"/>
    </row>
    <row r="112" spans="1:9" s="2" customFormat="1" ht="12">
      <c r="A112" s="2" t="s">
        <v>35</v>
      </c>
      <c r="B112" s="12">
        <v>2</v>
      </c>
      <c r="C112" s="2" t="s">
        <v>143</v>
      </c>
      <c r="G112" s="14">
        <v>58</v>
      </c>
      <c r="H112" s="5"/>
      <c r="I112" s="14">
        <f>G112*B112</f>
        <v>116</v>
      </c>
    </row>
    <row r="113" spans="1:9" s="2" customFormat="1" ht="12">
      <c r="A113" s="2" t="s">
        <v>36</v>
      </c>
      <c r="B113" s="12">
        <v>2</v>
      </c>
      <c r="C113" s="2" t="s">
        <v>129</v>
      </c>
      <c r="G113" s="14">
        <v>175</v>
      </c>
      <c r="H113" s="5"/>
      <c r="I113" s="14">
        <f>G113*B113</f>
        <v>350</v>
      </c>
    </row>
    <row r="114" spans="1:9" s="2" customFormat="1" ht="12">
      <c r="A114" s="2" t="s">
        <v>37</v>
      </c>
      <c r="B114" s="12">
        <v>1</v>
      </c>
      <c r="C114" s="2" t="s">
        <v>120</v>
      </c>
      <c r="G114" s="14">
        <v>265</v>
      </c>
      <c r="H114" s="14"/>
      <c r="I114" s="14">
        <f t="shared" ref="I114" si="8">G114*B114</f>
        <v>265</v>
      </c>
    </row>
    <row r="115" spans="1:9" s="2" customFormat="1" ht="12">
      <c r="A115" s="2" t="s">
        <v>38</v>
      </c>
      <c r="B115" s="12">
        <v>1</v>
      </c>
      <c r="C115" s="2" t="s">
        <v>148</v>
      </c>
      <c r="G115" s="14">
        <v>58</v>
      </c>
      <c r="H115" s="14"/>
      <c r="I115" s="14">
        <f>G115*B115</f>
        <v>58</v>
      </c>
    </row>
    <row r="116" spans="1:9" s="2" customFormat="1" ht="12">
      <c r="A116" s="2" t="s">
        <v>39</v>
      </c>
      <c r="B116" s="12">
        <v>5</v>
      </c>
      <c r="C116" s="2" t="s">
        <v>149</v>
      </c>
      <c r="G116" s="14">
        <v>48</v>
      </c>
      <c r="H116" s="14"/>
      <c r="I116" s="14">
        <f>G116*B116</f>
        <v>240</v>
      </c>
    </row>
    <row r="117" spans="1:9" s="2" customFormat="1" ht="12">
      <c r="A117" s="2" t="s">
        <v>40</v>
      </c>
      <c r="B117" s="12">
        <v>3</v>
      </c>
      <c r="C117" s="2" t="s">
        <v>112</v>
      </c>
      <c r="G117" s="14">
        <v>48</v>
      </c>
      <c r="H117" s="14"/>
      <c r="I117" s="14">
        <f>G117*B117</f>
        <v>144</v>
      </c>
    </row>
    <row r="118" spans="1:9" s="2" customFormat="1" ht="12">
      <c r="A118" s="11"/>
      <c r="B118" s="10"/>
      <c r="C118" s="21"/>
      <c r="D118" s="12"/>
      <c r="E118" s="29"/>
      <c r="F118" s="12"/>
      <c r="G118" s="44"/>
      <c r="H118" s="44"/>
      <c r="I118" s="35"/>
    </row>
    <row r="119" spans="1:9" s="2" customFormat="1" ht="12">
      <c r="A119" s="56" t="s">
        <v>168</v>
      </c>
      <c r="B119" s="56"/>
      <c r="C119" s="56"/>
      <c r="D119" s="56"/>
      <c r="E119" s="56"/>
      <c r="F119" s="56"/>
      <c r="G119" s="56"/>
      <c r="H119" s="7"/>
      <c r="I119" s="53">
        <f>SUM(I122:I127)</f>
        <v>1173</v>
      </c>
    </row>
    <row r="120" spans="1:9" s="2" customFormat="1" ht="12">
      <c r="A120" s="57"/>
      <c r="B120" s="57"/>
      <c r="C120" s="57"/>
      <c r="D120" s="57"/>
      <c r="E120" s="57"/>
      <c r="F120" s="57"/>
      <c r="G120" s="57"/>
      <c r="H120" s="9"/>
      <c r="I120" s="54"/>
    </row>
    <row r="121" spans="1:9" s="2" customFormat="1" ht="12">
      <c r="H121" s="5"/>
    </row>
    <row r="122" spans="1:9" s="2" customFormat="1" ht="12">
      <c r="A122" s="2" t="s">
        <v>35</v>
      </c>
      <c r="B122" s="12">
        <v>2</v>
      </c>
      <c r="C122" s="2" t="s">
        <v>143</v>
      </c>
      <c r="G122" s="14">
        <v>58</v>
      </c>
      <c r="H122" s="5"/>
      <c r="I122" s="14">
        <f>G122*B122</f>
        <v>116</v>
      </c>
    </row>
    <row r="123" spans="1:9" s="2" customFormat="1" ht="12">
      <c r="A123" s="2" t="s">
        <v>36</v>
      </c>
      <c r="B123" s="12">
        <v>2</v>
      </c>
      <c r="C123" s="2" t="s">
        <v>129</v>
      </c>
      <c r="G123" s="14">
        <v>175</v>
      </c>
      <c r="H123" s="5"/>
      <c r="I123" s="14">
        <f>G123*B123</f>
        <v>350</v>
      </c>
    </row>
    <row r="124" spans="1:9" s="2" customFormat="1" ht="12">
      <c r="A124" s="2" t="s">
        <v>40</v>
      </c>
      <c r="B124" s="12">
        <v>1</v>
      </c>
      <c r="C124" s="2" t="s">
        <v>120</v>
      </c>
      <c r="G124" s="14">
        <v>265</v>
      </c>
      <c r="H124" s="14"/>
      <c r="I124" s="14">
        <f t="shared" ref="I124" si="9">G124*B124</f>
        <v>265</v>
      </c>
    </row>
    <row r="125" spans="1:9" s="2" customFormat="1" ht="12">
      <c r="A125" s="2" t="s">
        <v>37</v>
      </c>
      <c r="B125" s="12">
        <v>1</v>
      </c>
      <c r="C125" s="2" t="s">
        <v>148</v>
      </c>
      <c r="G125" s="14">
        <v>58</v>
      </c>
      <c r="H125" s="14"/>
      <c r="I125" s="14">
        <f>G125*B125</f>
        <v>58</v>
      </c>
    </row>
    <row r="126" spans="1:9" s="2" customFormat="1" ht="12">
      <c r="A126" s="2" t="s">
        <v>38</v>
      </c>
      <c r="B126" s="12">
        <v>5</v>
      </c>
      <c r="C126" s="2" t="s">
        <v>145</v>
      </c>
      <c r="G126" s="14">
        <v>48</v>
      </c>
      <c r="H126" s="14"/>
      <c r="I126" s="14">
        <f>G126*B126</f>
        <v>240</v>
      </c>
    </row>
    <row r="127" spans="1:9" s="2" customFormat="1" ht="12">
      <c r="A127" s="2" t="s">
        <v>39</v>
      </c>
      <c r="B127" s="12">
        <v>3</v>
      </c>
      <c r="C127" s="2" t="s">
        <v>112</v>
      </c>
      <c r="G127" s="14">
        <v>48</v>
      </c>
      <c r="H127" s="14"/>
      <c r="I127" s="14">
        <f>G127*B127</f>
        <v>144</v>
      </c>
    </row>
    <row r="128" spans="1:9" s="2" customFormat="1" ht="12">
      <c r="A128" s="11"/>
      <c r="B128" s="10"/>
      <c r="C128" s="21"/>
      <c r="D128" s="12"/>
      <c r="E128" s="29"/>
      <c r="F128" s="12"/>
      <c r="G128" s="44"/>
      <c r="H128" s="44"/>
      <c r="I128" s="35"/>
    </row>
    <row r="129" spans="1:9" s="2" customFormat="1" ht="12">
      <c r="A129" s="56" t="s">
        <v>167</v>
      </c>
      <c r="B129" s="56"/>
      <c r="C129" s="56"/>
      <c r="D129" s="56"/>
      <c r="E129" s="56"/>
      <c r="F129" s="56"/>
      <c r="G129" s="56"/>
      <c r="H129" s="7"/>
      <c r="I129" s="53">
        <f>SUM(I133:I137)</f>
        <v>1153</v>
      </c>
    </row>
    <row r="130" spans="1:9" s="2" customFormat="1" ht="12">
      <c r="A130" s="57"/>
      <c r="B130" s="57"/>
      <c r="C130" s="57"/>
      <c r="D130" s="57"/>
      <c r="E130" s="57"/>
      <c r="F130" s="57"/>
      <c r="G130" s="57"/>
      <c r="H130" s="9"/>
      <c r="I130" s="54"/>
    </row>
    <row r="131" spans="1:9" s="2" customFormat="1" ht="12">
      <c r="H131" s="5"/>
    </row>
    <row r="132" spans="1:9" s="2" customFormat="1" ht="12">
      <c r="A132" s="2" t="s">
        <v>35</v>
      </c>
      <c r="B132" s="12">
        <v>2</v>
      </c>
      <c r="C132" s="2" t="s">
        <v>134</v>
      </c>
      <c r="G132" s="14">
        <v>58</v>
      </c>
      <c r="H132" s="5"/>
      <c r="I132" s="14">
        <f>G132*B132</f>
        <v>116</v>
      </c>
    </row>
    <row r="133" spans="1:9" s="2" customFormat="1" ht="12">
      <c r="A133" s="2" t="s">
        <v>36</v>
      </c>
      <c r="B133" s="12">
        <v>2</v>
      </c>
      <c r="C133" s="2" t="s">
        <v>150</v>
      </c>
      <c r="G133" s="14">
        <v>175</v>
      </c>
      <c r="H133" s="5"/>
      <c r="I133" s="14">
        <f>G133*B133</f>
        <v>350</v>
      </c>
    </row>
    <row r="134" spans="1:9" s="2" customFormat="1" ht="12">
      <c r="A134" s="2" t="s">
        <v>37</v>
      </c>
      <c r="B134" s="12">
        <v>1</v>
      </c>
      <c r="C134" s="2" t="s">
        <v>120</v>
      </c>
      <c r="G134" s="14">
        <v>265</v>
      </c>
      <c r="H134" s="5"/>
      <c r="I134" s="14">
        <f t="shared" ref="I134" si="10">G134*B134</f>
        <v>265</v>
      </c>
    </row>
    <row r="135" spans="1:9" s="2" customFormat="1" ht="12">
      <c r="A135" s="2" t="s">
        <v>38</v>
      </c>
      <c r="B135" s="12">
        <v>1</v>
      </c>
      <c r="C135" s="2" t="s">
        <v>148</v>
      </c>
      <c r="G135" s="14">
        <v>58</v>
      </c>
      <c r="H135" s="5"/>
      <c r="I135" s="14">
        <f t="shared" ref="I135:I137" si="11">G135*B135</f>
        <v>58</v>
      </c>
    </row>
    <row r="136" spans="1:9" s="2" customFormat="1" ht="12">
      <c r="A136" s="2" t="s">
        <v>39</v>
      </c>
      <c r="B136" s="12">
        <v>5</v>
      </c>
      <c r="C136" s="2" t="s">
        <v>145</v>
      </c>
      <c r="G136" s="14">
        <v>48</v>
      </c>
      <c r="H136" s="5"/>
      <c r="I136" s="14">
        <f t="shared" si="11"/>
        <v>240</v>
      </c>
    </row>
    <row r="137" spans="1:9" s="2" customFormat="1" ht="12">
      <c r="A137" s="2" t="s">
        <v>40</v>
      </c>
      <c r="B137" s="12">
        <v>5</v>
      </c>
      <c r="C137" s="2" t="s">
        <v>151</v>
      </c>
      <c r="G137" s="14">
        <v>48</v>
      </c>
      <c r="H137" s="5"/>
      <c r="I137" s="14">
        <f t="shared" si="11"/>
        <v>240</v>
      </c>
    </row>
    <row r="138" spans="1:9" s="2" customFormat="1" ht="12">
      <c r="A138" s="11"/>
      <c r="B138" s="10"/>
      <c r="C138" s="21"/>
      <c r="D138" s="12"/>
      <c r="E138" s="29"/>
      <c r="F138" s="12"/>
      <c r="G138" s="44"/>
      <c r="H138" s="44"/>
      <c r="I138" s="35"/>
    </row>
    <row r="139" spans="1:9" s="2" customFormat="1" ht="12">
      <c r="A139" s="56" t="s">
        <v>170</v>
      </c>
      <c r="B139" s="56"/>
      <c r="C139" s="56"/>
      <c r="D139" s="56"/>
      <c r="E139" s="56"/>
      <c r="F139" s="56"/>
      <c r="G139" s="56"/>
      <c r="H139" s="7"/>
      <c r="I139" s="53">
        <f>SUM(I142:I148)</f>
        <v>1110</v>
      </c>
    </row>
    <row r="140" spans="1:9" s="2" customFormat="1" ht="12">
      <c r="A140" s="57"/>
      <c r="B140" s="57"/>
      <c r="C140" s="57"/>
      <c r="D140" s="57"/>
      <c r="E140" s="57"/>
      <c r="F140" s="57"/>
      <c r="G140" s="57"/>
      <c r="H140" s="9"/>
      <c r="I140" s="54"/>
    </row>
    <row r="141" spans="1:9" s="2" customFormat="1" ht="12">
      <c r="H141" s="5"/>
    </row>
    <row r="142" spans="1:9" s="2" customFormat="1" ht="12">
      <c r="A142" s="2" t="s">
        <v>35</v>
      </c>
      <c r="B142" s="12">
        <v>2</v>
      </c>
      <c r="C142" s="2" t="s">
        <v>134</v>
      </c>
      <c r="G142" s="14">
        <v>58</v>
      </c>
      <c r="H142" s="5"/>
      <c r="I142" s="14">
        <f>G142*B142</f>
        <v>116</v>
      </c>
    </row>
    <row r="143" spans="1:9" s="2" customFormat="1" ht="12">
      <c r="A143" s="2" t="s">
        <v>36</v>
      </c>
      <c r="B143" s="12">
        <v>2</v>
      </c>
      <c r="C143" s="2" t="s">
        <v>129</v>
      </c>
      <c r="G143" s="14">
        <v>175</v>
      </c>
      <c r="H143" s="5"/>
      <c r="I143" s="14">
        <f>G143*B143</f>
        <v>350</v>
      </c>
    </row>
    <row r="144" spans="1:9" s="2" customFormat="1" ht="12">
      <c r="A144" s="2" t="s">
        <v>37</v>
      </c>
      <c r="B144" s="12">
        <v>1</v>
      </c>
      <c r="C144" s="2" t="s">
        <v>120</v>
      </c>
      <c r="G144" s="14">
        <v>265</v>
      </c>
      <c r="H144" s="14"/>
      <c r="I144" s="14">
        <f>G144*B144</f>
        <v>265</v>
      </c>
    </row>
    <row r="145" spans="1:9" s="2" customFormat="1" ht="12">
      <c r="A145" s="2" t="s">
        <v>38</v>
      </c>
      <c r="B145" s="12">
        <v>1</v>
      </c>
      <c r="C145" s="2" t="s">
        <v>148</v>
      </c>
      <c r="G145" s="14">
        <v>58</v>
      </c>
      <c r="H145" s="5"/>
      <c r="I145" s="14">
        <f t="shared" ref="I145" si="12">G145*B145</f>
        <v>58</v>
      </c>
    </row>
    <row r="146" spans="1:9" s="2" customFormat="1" ht="12">
      <c r="A146" s="2" t="s">
        <v>39</v>
      </c>
      <c r="B146" s="12">
        <v>1</v>
      </c>
      <c r="C146" s="2" t="s">
        <v>152</v>
      </c>
      <c r="G146" s="14">
        <v>48</v>
      </c>
      <c r="H146" s="14"/>
      <c r="I146" s="14">
        <f>G146*B146</f>
        <v>48</v>
      </c>
    </row>
    <row r="147" spans="1:9" s="2" customFormat="1" ht="12">
      <c r="A147" s="2" t="s">
        <v>40</v>
      </c>
      <c r="B147" s="12">
        <v>1</v>
      </c>
      <c r="C147" s="2" t="s">
        <v>115</v>
      </c>
      <c r="G147" s="14">
        <v>58</v>
      </c>
      <c r="H147" s="14"/>
      <c r="I147" s="14">
        <f>G147*B147</f>
        <v>58</v>
      </c>
    </row>
    <row r="148" spans="1:9" s="2" customFormat="1" ht="12">
      <c r="A148" s="2" t="s">
        <v>41</v>
      </c>
      <c r="B148" s="12">
        <v>1</v>
      </c>
      <c r="C148" s="2" t="s">
        <v>176</v>
      </c>
      <c r="G148" s="14">
        <v>215</v>
      </c>
      <c r="H148" s="5"/>
      <c r="I148" s="14">
        <f>G148*B148</f>
        <v>215</v>
      </c>
    </row>
    <row r="149" spans="1:9" s="2" customFormat="1" ht="12">
      <c r="A149" s="11"/>
      <c r="B149" s="10"/>
      <c r="C149" s="21"/>
      <c r="D149" s="12"/>
      <c r="E149" s="29"/>
      <c r="F149" s="12"/>
      <c r="G149" s="44"/>
      <c r="H149" s="44"/>
      <c r="I149" s="35"/>
    </row>
    <row r="150" spans="1:9" s="2" customFormat="1" ht="12">
      <c r="A150" s="56" t="s">
        <v>171</v>
      </c>
      <c r="B150" s="56"/>
      <c r="C150" s="56"/>
      <c r="D150" s="58"/>
      <c r="E150" s="58"/>
      <c r="F150" s="58"/>
      <c r="G150" s="6"/>
      <c r="H150" s="7"/>
      <c r="I150" s="53">
        <f>SUM(I153:I174)</f>
        <v>4106</v>
      </c>
    </row>
    <row r="151" spans="1:9" s="2" customFormat="1" ht="12">
      <c r="A151" s="57"/>
      <c r="B151" s="57"/>
      <c r="C151" s="57"/>
      <c r="D151" s="59"/>
      <c r="E151" s="59"/>
      <c r="F151" s="59"/>
      <c r="G151" s="8"/>
      <c r="H151" s="9"/>
      <c r="I151" s="54"/>
    </row>
    <row r="152" spans="1:9" s="2" customFormat="1" ht="12">
      <c r="H152" s="5"/>
    </row>
    <row r="153" spans="1:9" s="2" customFormat="1" ht="12">
      <c r="A153" s="2" t="s">
        <v>50</v>
      </c>
      <c r="B153" s="12">
        <v>21</v>
      </c>
      <c r="C153" s="2" t="s">
        <v>98</v>
      </c>
      <c r="G153" s="14">
        <v>52</v>
      </c>
      <c r="H153" s="5"/>
      <c r="I153" s="14">
        <f>G153*B153</f>
        <v>1092</v>
      </c>
    </row>
    <row r="154" spans="1:9" s="2" customFormat="1" ht="12">
      <c r="A154" s="2" t="s">
        <v>36</v>
      </c>
      <c r="B154" s="12">
        <v>2</v>
      </c>
      <c r="C154" s="2" t="s">
        <v>164</v>
      </c>
      <c r="G154" s="14">
        <v>125</v>
      </c>
      <c r="H154" s="5"/>
      <c r="I154" s="14">
        <f>G154*B154</f>
        <v>250</v>
      </c>
    </row>
    <row r="155" spans="1:9" s="2" customFormat="1" ht="12">
      <c r="A155" s="2" t="s">
        <v>37</v>
      </c>
      <c r="B155" s="12">
        <v>3</v>
      </c>
      <c r="C155" s="2" t="s">
        <v>100</v>
      </c>
      <c r="G155" s="14">
        <v>58</v>
      </c>
      <c r="H155" s="5"/>
      <c r="I155" s="14">
        <f t="shared" ref="I155:I174" si="13">G155*B155</f>
        <v>174</v>
      </c>
    </row>
    <row r="156" spans="1:9" s="2" customFormat="1" ht="12">
      <c r="A156" s="2" t="s">
        <v>38</v>
      </c>
      <c r="B156" s="12">
        <v>4</v>
      </c>
      <c r="C156" s="2" t="s">
        <v>101</v>
      </c>
      <c r="G156" s="14">
        <v>58</v>
      </c>
      <c r="H156" s="5"/>
      <c r="I156" s="14">
        <f t="shared" si="13"/>
        <v>232</v>
      </c>
    </row>
    <row r="157" spans="1:9" s="2" customFormat="1" ht="12">
      <c r="A157" s="2" t="s">
        <v>39</v>
      </c>
      <c r="B157" s="12">
        <v>3</v>
      </c>
      <c r="C157" s="2" t="s">
        <v>102</v>
      </c>
      <c r="G157" s="14">
        <v>58</v>
      </c>
      <c r="H157" s="5"/>
      <c r="I157" s="14">
        <f t="shared" si="13"/>
        <v>174</v>
      </c>
    </row>
    <row r="158" spans="1:9" s="2" customFormat="1" ht="12">
      <c r="B158" s="12"/>
      <c r="G158" s="14"/>
      <c r="H158" s="5"/>
      <c r="I158" s="14"/>
    </row>
    <row r="159" spans="1:9" s="2" customFormat="1" ht="12">
      <c r="B159" s="12"/>
      <c r="G159" s="14"/>
      <c r="H159" s="5"/>
      <c r="I159" s="14"/>
    </row>
    <row r="160" spans="1:9" s="2" customFormat="1" ht="12">
      <c r="A160" s="11" t="s">
        <v>30</v>
      </c>
      <c r="B160" s="10"/>
      <c r="C160" s="21"/>
      <c r="D160" s="12"/>
      <c r="E160" s="29" t="s">
        <v>31</v>
      </c>
      <c r="F160" s="12" t="s">
        <v>65</v>
      </c>
      <c r="G160" s="55" t="s">
        <v>97</v>
      </c>
      <c r="H160" s="55"/>
      <c r="I160" s="35" t="s">
        <v>48</v>
      </c>
    </row>
    <row r="161" spans="1:9" s="2" customFormat="1" ht="12">
      <c r="B161" s="12"/>
      <c r="G161" s="14"/>
      <c r="H161" s="5"/>
      <c r="I161" s="14"/>
    </row>
    <row r="162" spans="1:9" s="2" customFormat="1" ht="12">
      <c r="A162" s="56" t="s">
        <v>215</v>
      </c>
      <c r="B162" s="56"/>
      <c r="C162" s="56"/>
      <c r="D162" s="58"/>
      <c r="E162" s="58"/>
      <c r="F162" s="58"/>
      <c r="G162" s="6"/>
      <c r="H162" s="7"/>
      <c r="I162" s="53"/>
    </row>
    <row r="163" spans="1:9" s="2" customFormat="1" ht="12">
      <c r="A163" s="57"/>
      <c r="B163" s="57"/>
      <c r="C163" s="57"/>
      <c r="D163" s="59"/>
      <c r="E163" s="59"/>
      <c r="F163" s="59"/>
      <c r="G163" s="8"/>
      <c r="H163" s="9"/>
      <c r="I163" s="54"/>
    </row>
    <row r="164" spans="1:9" s="2" customFormat="1" ht="12">
      <c r="B164" s="12"/>
      <c r="G164" s="14"/>
      <c r="H164" s="5"/>
      <c r="I164" s="14"/>
    </row>
    <row r="165" spans="1:9" s="2" customFormat="1" ht="12">
      <c r="A165" s="2" t="s">
        <v>40</v>
      </c>
      <c r="B165" s="12">
        <v>3</v>
      </c>
      <c r="C165" s="2" t="s">
        <v>129</v>
      </c>
      <c r="G165" s="14">
        <v>175</v>
      </c>
      <c r="H165" s="5"/>
      <c r="I165" s="14">
        <f t="shared" si="13"/>
        <v>525</v>
      </c>
    </row>
    <row r="166" spans="1:9" s="2" customFormat="1" ht="12">
      <c r="A166" s="2" t="s">
        <v>41</v>
      </c>
      <c r="B166" s="12">
        <v>1</v>
      </c>
      <c r="C166" s="2" t="s">
        <v>103</v>
      </c>
      <c r="G166" s="14">
        <v>58</v>
      </c>
      <c r="H166" s="5"/>
      <c r="I166" s="14">
        <f t="shared" si="13"/>
        <v>58</v>
      </c>
    </row>
    <row r="167" spans="1:9" s="2" customFormat="1" ht="12">
      <c r="A167" s="2" t="s">
        <v>42</v>
      </c>
      <c r="B167" s="12">
        <v>3</v>
      </c>
      <c r="C167" s="2" t="s">
        <v>99</v>
      </c>
      <c r="G167" s="14">
        <v>48</v>
      </c>
      <c r="H167" s="5"/>
      <c r="I167" s="14">
        <f>G167*B167</f>
        <v>144</v>
      </c>
    </row>
    <row r="168" spans="1:9" s="2" customFormat="1" ht="12">
      <c r="A168" s="2" t="s">
        <v>43</v>
      </c>
      <c r="B168" s="12">
        <v>5</v>
      </c>
      <c r="C168" s="2" t="s">
        <v>104</v>
      </c>
      <c r="G168" s="14">
        <v>48</v>
      </c>
      <c r="H168" s="5"/>
      <c r="I168" s="14">
        <f t="shared" si="13"/>
        <v>240</v>
      </c>
    </row>
    <row r="169" spans="1:9" s="2" customFormat="1" ht="12">
      <c r="A169" s="2" t="s">
        <v>44</v>
      </c>
      <c r="B169" s="12">
        <v>1</v>
      </c>
      <c r="C169" s="2" t="s">
        <v>109</v>
      </c>
      <c r="G169" s="14">
        <v>48</v>
      </c>
      <c r="H169" s="5"/>
      <c r="I169" s="14">
        <f t="shared" si="13"/>
        <v>48</v>
      </c>
    </row>
    <row r="170" spans="1:9" s="2" customFormat="1" ht="12">
      <c r="A170" s="2" t="s">
        <v>89</v>
      </c>
      <c r="B170" s="12">
        <v>1</v>
      </c>
      <c r="C170" s="2" t="s">
        <v>105</v>
      </c>
      <c r="G170" s="14">
        <v>78</v>
      </c>
      <c r="H170" s="5"/>
      <c r="I170" s="14">
        <f t="shared" si="13"/>
        <v>78</v>
      </c>
    </row>
    <row r="171" spans="1:9" s="2" customFormat="1" ht="12">
      <c r="A171" s="2" t="s">
        <v>45</v>
      </c>
      <c r="B171" s="12">
        <v>1</v>
      </c>
      <c r="C171" s="2" t="s">
        <v>106</v>
      </c>
      <c r="G171" s="14">
        <v>335</v>
      </c>
      <c r="H171" s="5"/>
      <c r="I171" s="14">
        <f t="shared" si="13"/>
        <v>335</v>
      </c>
    </row>
    <row r="172" spans="1:9" s="2" customFormat="1" ht="12">
      <c r="A172" s="2" t="s">
        <v>46</v>
      </c>
      <c r="B172" s="12">
        <v>2</v>
      </c>
      <c r="C172" s="2" t="s">
        <v>107</v>
      </c>
      <c r="G172" s="14">
        <v>78</v>
      </c>
      <c r="H172" s="5"/>
      <c r="I172" s="14">
        <f t="shared" si="13"/>
        <v>156</v>
      </c>
    </row>
    <row r="173" spans="1:9" s="2" customFormat="1" ht="12">
      <c r="A173" s="2" t="s">
        <v>47</v>
      </c>
      <c r="B173" s="12">
        <v>1</v>
      </c>
      <c r="C173" s="2" t="s">
        <v>108</v>
      </c>
      <c r="G173" s="14">
        <v>335</v>
      </c>
      <c r="H173" s="5"/>
      <c r="I173" s="14">
        <f t="shared" si="13"/>
        <v>335</v>
      </c>
    </row>
    <row r="174" spans="1:9" s="2" customFormat="1" ht="12">
      <c r="A174" s="2" t="s">
        <v>54</v>
      </c>
      <c r="B174" s="12">
        <v>1</v>
      </c>
      <c r="C174" s="2" t="s">
        <v>110</v>
      </c>
      <c r="G174" s="14">
        <v>265</v>
      </c>
      <c r="H174" s="5"/>
      <c r="I174" s="14">
        <f t="shared" si="13"/>
        <v>265</v>
      </c>
    </row>
    <row r="175" spans="1:9" s="2" customFormat="1" ht="12">
      <c r="A175" s="11"/>
      <c r="B175" s="10"/>
      <c r="C175" s="21"/>
      <c r="D175" s="12"/>
      <c r="E175" s="12"/>
      <c r="F175" s="12"/>
      <c r="G175" s="44"/>
      <c r="H175" s="44"/>
      <c r="I175" s="20"/>
    </row>
    <row r="176" spans="1:9" s="2" customFormat="1" ht="12">
      <c r="A176" s="56" t="s">
        <v>172</v>
      </c>
      <c r="B176" s="56"/>
      <c r="C176" s="56"/>
      <c r="D176" s="56"/>
      <c r="E176" s="56"/>
      <c r="F176" s="56"/>
      <c r="G176" s="56"/>
      <c r="H176" s="7"/>
      <c r="I176" s="53">
        <f>SUM(I179:I201)</f>
        <v>10252</v>
      </c>
    </row>
    <row r="177" spans="1:9" s="2" customFormat="1" ht="12">
      <c r="A177" s="57"/>
      <c r="B177" s="57"/>
      <c r="C177" s="57"/>
      <c r="D177" s="57"/>
      <c r="E177" s="57"/>
      <c r="F177" s="57"/>
      <c r="G177" s="57"/>
      <c r="H177" s="9"/>
      <c r="I177" s="54"/>
    </row>
    <row r="178" spans="1:9" s="2" customFormat="1" ht="12">
      <c r="H178" s="5"/>
    </row>
    <row r="179" spans="1:9" s="2" customFormat="1" ht="12">
      <c r="A179" s="2" t="s">
        <v>35</v>
      </c>
      <c r="B179" s="12">
        <v>4</v>
      </c>
      <c r="C179" s="2" t="s">
        <v>216</v>
      </c>
      <c r="G179" s="14">
        <v>335</v>
      </c>
      <c r="H179" s="5"/>
      <c r="I179" s="14">
        <f>G179*B179</f>
        <v>1340</v>
      </c>
    </row>
    <row r="180" spans="1:9" s="2" customFormat="1" ht="12">
      <c r="A180" s="2" t="s">
        <v>36</v>
      </c>
      <c r="B180" s="12">
        <v>75</v>
      </c>
      <c r="C180" s="2" t="s">
        <v>98</v>
      </c>
      <c r="G180" s="14">
        <v>52</v>
      </c>
      <c r="H180" s="5"/>
      <c r="I180" s="14">
        <f>G180*B180</f>
        <v>3900</v>
      </c>
    </row>
    <row r="181" spans="1:9" s="2" customFormat="1" ht="12">
      <c r="A181" s="2" t="s">
        <v>37</v>
      </c>
      <c r="B181" s="12">
        <v>7</v>
      </c>
      <c r="C181" s="2" t="s">
        <v>116</v>
      </c>
      <c r="E181" s="3"/>
      <c r="F181" s="3"/>
      <c r="G181" s="14">
        <v>130</v>
      </c>
      <c r="H181" s="15"/>
      <c r="I181" s="14">
        <f t="shared" ref="I181" si="14">G181*B181</f>
        <v>910</v>
      </c>
    </row>
    <row r="182" spans="1:9" s="2" customFormat="1" ht="12">
      <c r="A182" s="2" t="s">
        <v>38</v>
      </c>
      <c r="B182" s="12">
        <v>1</v>
      </c>
      <c r="C182" s="2" t="s">
        <v>113</v>
      </c>
      <c r="G182" s="14">
        <v>48</v>
      </c>
      <c r="H182" s="14"/>
      <c r="I182" s="14">
        <f t="shared" ref="I182" si="15">G182*B182</f>
        <v>48</v>
      </c>
    </row>
    <row r="183" spans="1:9" s="2" customFormat="1" ht="12">
      <c r="A183" s="2" t="s">
        <v>39</v>
      </c>
      <c r="B183" s="12">
        <v>1</v>
      </c>
      <c r="C183" s="2" t="s">
        <v>174</v>
      </c>
      <c r="G183" s="14">
        <v>48</v>
      </c>
      <c r="H183" s="14"/>
      <c r="I183" s="14">
        <f>G183*B183</f>
        <v>48</v>
      </c>
    </row>
    <row r="184" spans="1:9" s="2" customFormat="1" ht="12">
      <c r="A184" s="2" t="s">
        <v>40</v>
      </c>
      <c r="B184" s="12">
        <v>3</v>
      </c>
      <c r="C184" s="2" t="s">
        <v>101</v>
      </c>
      <c r="G184" s="14">
        <v>48</v>
      </c>
      <c r="H184" s="14"/>
      <c r="I184" s="14">
        <f t="shared" ref="I184:I186" si="16">G184*B184</f>
        <v>144</v>
      </c>
    </row>
    <row r="185" spans="1:9" s="2" customFormat="1" ht="12">
      <c r="A185" s="2" t="s">
        <v>41</v>
      </c>
      <c r="B185" s="12">
        <v>1</v>
      </c>
      <c r="C185" s="2" t="s">
        <v>175</v>
      </c>
      <c r="G185" s="14">
        <v>58</v>
      </c>
      <c r="H185" s="14"/>
      <c r="I185" s="14">
        <f t="shared" si="16"/>
        <v>58</v>
      </c>
    </row>
    <row r="186" spans="1:9" s="2" customFormat="1" ht="12">
      <c r="A186" s="2" t="s">
        <v>173</v>
      </c>
      <c r="B186" s="12">
        <v>1</v>
      </c>
      <c r="C186" s="2" t="s">
        <v>111</v>
      </c>
      <c r="G186" s="14">
        <v>58</v>
      </c>
      <c r="H186" s="14"/>
      <c r="I186" s="14">
        <f t="shared" si="16"/>
        <v>58</v>
      </c>
    </row>
    <row r="187" spans="1:9" s="2" customFormat="1" ht="12">
      <c r="A187" s="2" t="s">
        <v>43</v>
      </c>
      <c r="B187" s="12">
        <v>2</v>
      </c>
      <c r="C187" s="2" t="s">
        <v>112</v>
      </c>
      <c r="G187" s="14">
        <v>48</v>
      </c>
      <c r="H187" s="14"/>
      <c r="I187" s="14">
        <f t="shared" ref="I187:I190" si="17">G187*B187</f>
        <v>96</v>
      </c>
    </row>
    <row r="188" spans="1:9" s="2" customFormat="1" ht="12">
      <c r="A188" s="2" t="s">
        <v>44</v>
      </c>
      <c r="B188" s="12">
        <v>4</v>
      </c>
      <c r="C188" s="2" t="s">
        <v>124</v>
      </c>
      <c r="D188" s="3"/>
      <c r="E188" s="3"/>
      <c r="F188" s="3"/>
      <c r="G188" s="14">
        <v>48</v>
      </c>
      <c r="H188" s="15"/>
      <c r="I188" s="14">
        <f>G188*B188</f>
        <v>192</v>
      </c>
    </row>
    <row r="189" spans="1:9" s="2" customFormat="1" ht="12">
      <c r="A189" s="2" t="s">
        <v>89</v>
      </c>
      <c r="B189" s="12">
        <v>5</v>
      </c>
      <c r="C189" s="2" t="s">
        <v>114</v>
      </c>
      <c r="D189" s="3"/>
      <c r="E189" s="3"/>
      <c r="F189" s="3"/>
      <c r="G189" s="14">
        <v>175</v>
      </c>
      <c r="H189" s="15"/>
      <c r="I189" s="14">
        <f t="shared" si="17"/>
        <v>875</v>
      </c>
    </row>
    <row r="190" spans="1:9" s="2" customFormat="1" ht="12">
      <c r="A190" s="2" t="s">
        <v>45</v>
      </c>
      <c r="B190" s="12">
        <v>2</v>
      </c>
      <c r="C190" s="2" t="s">
        <v>120</v>
      </c>
      <c r="D190" s="3"/>
      <c r="E190" s="3"/>
      <c r="F190" s="3"/>
      <c r="G190" s="14">
        <v>245</v>
      </c>
      <c r="H190" s="15"/>
      <c r="I190" s="14">
        <f t="shared" si="17"/>
        <v>490</v>
      </c>
    </row>
    <row r="191" spans="1:9" s="2" customFormat="1" ht="12">
      <c r="A191" s="2" t="s">
        <v>46</v>
      </c>
      <c r="B191" s="12">
        <v>17</v>
      </c>
      <c r="C191" s="2" t="s">
        <v>99</v>
      </c>
      <c r="G191" s="14">
        <v>48</v>
      </c>
      <c r="H191" s="5"/>
      <c r="I191" s="14">
        <f>G191*B191</f>
        <v>816</v>
      </c>
    </row>
    <row r="192" spans="1:9" s="2" customFormat="1" ht="12">
      <c r="A192" s="2" t="s">
        <v>47</v>
      </c>
      <c r="B192" s="12">
        <v>1</v>
      </c>
      <c r="C192" s="2" t="s">
        <v>118</v>
      </c>
      <c r="E192" s="3"/>
      <c r="F192" s="3"/>
      <c r="G192" s="14">
        <v>48</v>
      </c>
      <c r="H192" s="15"/>
      <c r="I192" s="14">
        <f t="shared" ref="I192:I201" si="18">G192*B192</f>
        <v>48</v>
      </c>
    </row>
    <row r="193" spans="1:9" s="2" customFormat="1" ht="12">
      <c r="A193" s="2" t="s">
        <v>54</v>
      </c>
      <c r="B193" s="12">
        <v>4</v>
      </c>
      <c r="C193" s="2" t="s">
        <v>117</v>
      </c>
      <c r="D193" s="3"/>
      <c r="E193" s="3"/>
      <c r="F193" s="3"/>
      <c r="G193" s="14">
        <v>48</v>
      </c>
      <c r="H193" s="15"/>
      <c r="I193" s="14">
        <f t="shared" si="18"/>
        <v>192</v>
      </c>
    </row>
    <row r="194" spans="1:9" s="2" customFormat="1" ht="12">
      <c r="A194" s="2" t="s">
        <v>55</v>
      </c>
      <c r="B194" s="12">
        <v>1</v>
      </c>
      <c r="C194" s="2" t="s">
        <v>177</v>
      </c>
      <c r="D194" s="3"/>
      <c r="E194" s="3"/>
      <c r="F194" s="3"/>
      <c r="G194" s="14">
        <v>48</v>
      </c>
      <c r="H194" s="15"/>
      <c r="I194" s="14">
        <f t="shared" si="18"/>
        <v>48</v>
      </c>
    </row>
    <row r="195" spans="1:9" s="2" customFormat="1" ht="12">
      <c r="A195" s="2" t="s">
        <v>56</v>
      </c>
      <c r="B195" s="12">
        <v>1</v>
      </c>
      <c r="C195" s="2" t="s">
        <v>119</v>
      </c>
      <c r="D195" s="3"/>
      <c r="E195" s="3"/>
      <c r="F195" s="3"/>
      <c r="G195" s="14">
        <v>48</v>
      </c>
      <c r="H195" s="15"/>
      <c r="I195" s="14">
        <f t="shared" si="18"/>
        <v>48</v>
      </c>
    </row>
    <row r="196" spans="1:9" s="2" customFormat="1" ht="12">
      <c r="A196" s="2" t="s">
        <v>90</v>
      </c>
      <c r="B196" s="12">
        <v>1</v>
      </c>
      <c r="C196" s="2" t="s">
        <v>115</v>
      </c>
      <c r="D196" s="3"/>
      <c r="E196" s="3"/>
      <c r="F196" s="3"/>
      <c r="G196" s="14">
        <v>48</v>
      </c>
      <c r="H196" s="15"/>
      <c r="I196" s="14">
        <f t="shared" si="18"/>
        <v>48</v>
      </c>
    </row>
    <row r="197" spans="1:9" s="2" customFormat="1" ht="12">
      <c r="A197" s="2" t="s">
        <v>91</v>
      </c>
      <c r="B197" s="10">
        <v>1</v>
      </c>
      <c r="C197" s="2" t="s">
        <v>176</v>
      </c>
      <c r="D197" s="3"/>
      <c r="E197" s="3"/>
      <c r="F197" s="3"/>
      <c r="G197" s="14">
        <v>215</v>
      </c>
      <c r="H197" s="15"/>
      <c r="I197" s="14">
        <f t="shared" si="18"/>
        <v>215</v>
      </c>
    </row>
    <row r="198" spans="1:9" s="2" customFormat="1" ht="12">
      <c r="A198" s="2" t="s">
        <v>92</v>
      </c>
      <c r="B198" s="12">
        <v>6</v>
      </c>
      <c r="C198" s="2" t="s">
        <v>178</v>
      </c>
      <c r="D198" s="3"/>
      <c r="E198" s="3"/>
      <c r="F198" s="3"/>
      <c r="G198" s="14">
        <v>58</v>
      </c>
      <c r="H198" s="15"/>
      <c r="I198" s="14">
        <f t="shared" si="18"/>
        <v>348</v>
      </c>
    </row>
    <row r="199" spans="1:9" s="2" customFormat="1" ht="12">
      <c r="A199" s="41" t="s">
        <v>93</v>
      </c>
      <c r="B199" s="12">
        <v>1</v>
      </c>
      <c r="C199" s="2" t="s">
        <v>121</v>
      </c>
      <c r="E199" s="42"/>
      <c r="F199" s="42"/>
      <c r="G199" s="14">
        <v>110</v>
      </c>
      <c r="H199" s="15"/>
      <c r="I199" s="20">
        <f t="shared" si="18"/>
        <v>110</v>
      </c>
    </row>
    <row r="200" spans="1:9" s="2" customFormat="1" ht="12">
      <c r="A200" s="41" t="s">
        <v>94</v>
      </c>
      <c r="B200" s="12">
        <v>1</v>
      </c>
      <c r="C200" s="2" t="s">
        <v>122</v>
      </c>
      <c r="E200" s="42"/>
      <c r="F200" s="42"/>
      <c r="G200" s="14">
        <v>110</v>
      </c>
      <c r="H200" s="15"/>
      <c r="I200" s="14">
        <f t="shared" si="18"/>
        <v>110</v>
      </c>
    </row>
    <row r="201" spans="1:9" s="2" customFormat="1" ht="12">
      <c r="A201" s="41" t="s">
        <v>95</v>
      </c>
      <c r="B201" s="12">
        <v>1</v>
      </c>
      <c r="C201" s="2" t="s">
        <v>217</v>
      </c>
      <c r="E201" s="42"/>
      <c r="F201" s="42"/>
      <c r="G201" s="14">
        <v>110</v>
      </c>
      <c r="H201" s="15"/>
      <c r="I201" s="14">
        <f t="shared" si="18"/>
        <v>110</v>
      </c>
    </row>
    <row r="202" spans="1:9" s="2" customFormat="1" ht="12">
      <c r="B202" s="39"/>
      <c r="G202" s="14"/>
      <c r="H202" s="5"/>
      <c r="I202" s="40"/>
    </row>
    <row r="203" spans="1:9" s="2" customFormat="1" ht="12">
      <c r="A203" s="56" t="s">
        <v>186</v>
      </c>
      <c r="B203" s="56"/>
      <c r="C203" s="56"/>
      <c r="D203" s="56"/>
      <c r="E203" s="56"/>
      <c r="F203" s="56"/>
      <c r="G203" s="56"/>
      <c r="H203" s="7"/>
      <c r="I203" s="53">
        <f>SUM(I206:I226)</f>
        <v>8491</v>
      </c>
    </row>
    <row r="204" spans="1:9" s="2" customFormat="1" ht="12">
      <c r="A204" s="57"/>
      <c r="B204" s="57"/>
      <c r="C204" s="57"/>
      <c r="D204" s="57"/>
      <c r="E204" s="57"/>
      <c r="F204" s="57"/>
      <c r="G204" s="57"/>
      <c r="H204" s="9"/>
      <c r="I204" s="54"/>
    </row>
    <row r="205" spans="1:9" s="2" customFormat="1" ht="12">
      <c r="H205" s="5"/>
    </row>
    <row r="206" spans="1:9" s="2" customFormat="1" ht="12">
      <c r="A206" s="2" t="s">
        <v>35</v>
      </c>
      <c r="B206" s="12">
        <v>84</v>
      </c>
      <c r="C206" s="2" t="s">
        <v>57</v>
      </c>
      <c r="G206" s="14">
        <v>48</v>
      </c>
      <c r="H206" s="5"/>
      <c r="I206" s="14">
        <f>G206*B206</f>
        <v>4032</v>
      </c>
    </row>
    <row r="207" spans="1:9" s="2" customFormat="1" ht="12">
      <c r="A207" s="2" t="s">
        <v>36</v>
      </c>
      <c r="B207" s="12">
        <v>6</v>
      </c>
      <c r="C207" s="2" t="s">
        <v>116</v>
      </c>
      <c r="G207" s="14">
        <v>120</v>
      </c>
      <c r="H207" s="14"/>
      <c r="I207" s="14">
        <f t="shared" ref="I207" si="19">G207*B207</f>
        <v>720</v>
      </c>
    </row>
    <row r="208" spans="1:9" s="2" customFormat="1" ht="12">
      <c r="A208" s="2" t="s">
        <v>37</v>
      </c>
      <c r="B208" s="12">
        <v>5</v>
      </c>
      <c r="C208" s="2" t="s">
        <v>123</v>
      </c>
      <c r="G208" s="14">
        <v>48</v>
      </c>
      <c r="H208" s="14"/>
      <c r="I208" s="14">
        <f>G208*B208</f>
        <v>240</v>
      </c>
    </row>
    <row r="209" spans="1:9" s="2" customFormat="1" ht="12">
      <c r="A209" s="2" t="s">
        <v>38</v>
      </c>
      <c r="B209" s="12">
        <v>5</v>
      </c>
      <c r="C209" s="2" t="s">
        <v>129</v>
      </c>
      <c r="G209" s="14">
        <v>175</v>
      </c>
      <c r="H209" s="14"/>
      <c r="I209" s="14">
        <f t="shared" ref="I209:I210" si="20">G209*B209</f>
        <v>875</v>
      </c>
    </row>
    <row r="210" spans="1:9" s="2" customFormat="1" ht="12">
      <c r="A210" s="2" t="s">
        <v>39</v>
      </c>
      <c r="B210" s="12">
        <v>3</v>
      </c>
      <c r="C210" s="2" t="s">
        <v>120</v>
      </c>
      <c r="G210" s="14">
        <v>245</v>
      </c>
      <c r="H210" s="14"/>
      <c r="I210" s="14">
        <f t="shared" si="20"/>
        <v>735</v>
      </c>
    </row>
    <row r="211" spans="1:9" s="2" customFormat="1" ht="12">
      <c r="B211" s="12"/>
      <c r="G211" s="14"/>
      <c r="H211" s="14"/>
      <c r="I211" s="14"/>
    </row>
    <row r="212" spans="1:9" s="2" customFormat="1" ht="12">
      <c r="B212" s="12"/>
      <c r="G212" s="14"/>
      <c r="H212" s="14"/>
      <c r="I212" s="14"/>
    </row>
    <row r="213" spans="1:9" s="2" customFormat="1" ht="12">
      <c r="A213" s="11" t="s">
        <v>30</v>
      </c>
      <c r="B213" s="10"/>
      <c r="C213" s="21"/>
      <c r="D213" s="12"/>
      <c r="E213" s="29" t="s">
        <v>31</v>
      </c>
      <c r="F213" s="12" t="s">
        <v>65</v>
      </c>
      <c r="G213" s="55" t="s">
        <v>97</v>
      </c>
      <c r="H213" s="55"/>
      <c r="I213" s="35" t="s">
        <v>60</v>
      </c>
    </row>
    <row r="214" spans="1:9" s="2" customFormat="1" ht="12">
      <c r="B214" s="12"/>
      <c r="G214" s="14"/>
      <c r="H214" s="14"/>
      <c r="I214" s="14"/>
    </row>
    <row r="215" spans="1:9" s="2" customFormat="1" ht="12">
      <c r="A215" s="56" t="s">
        <v>218</v>
      </c>
      <c r="B215" s="56"/>
      <c r="C215" s="56"/>
      <c r="D215" s="56"/>
      <c r="E215" s="56"/>
      <c r="F215" s="56"/>
      <c r="G215" s="56"/>
      <c r="H215" s="7"/>
      <c r="I215" s="53"/>
    </row>
    <row r="216" spans="1:9" s="2" customFormat="1" ht="12">
      <c r="A216" s="57"/>
      <c r="B216" s="57"/>
      <c r="C216" s="57"/>
      <c r="D216" s="57"/>
      <c r="E216" s="57"/>
      <c r="F216" s="57"/>
      <c r="G216" s="57"/>
      <c r="H216" s="9"/>
      <c r="I216" s="54"/>
    </row>
    <row r="217" spans="1:9" s="2" customFormat="1" ht="12">
      <c r="B217" s="12"/>
      <c r="G217" s="14"/>
      <c r="H217" s="14"/>
      <c r="I217" s="14"/>
    </row>
    <row r="218" spans="1:9" s="2" customFormat="1" ht="12">
      <c r="A218" s="2" t="s">
        <v>40</v>
      </c>
      <c r="B218" s="12">
        <v>1</v>
      </c>
      <c r="C218" s="2" t="s">
        <v>125</v>
      </c>
      <c r="G218" s="14">
        <v>58</v>
      </c>
      <c r="H218" s="14"/>
      <c r="I218" s="14">
        <f t="shared" ref="I218:I226" si="21">G218*B218</f>
        <v>58</v>
      </c>
    </row>
    <row r="219" spans="1:9" s="2" customFormat="1" ht="12">
      <c r="A219" s="2" t="s">
        <v>41</v>
      </c>
      <c r="B219" s="12">
        <v>1</v>
      </c>
      <c r="C219" s="2" t="s">
        <v>126</v>
      </c>
      <c r="G219" s="14">
        <v>48</v>
      </c>
      <c r="H219" s="14"/>
      <c r="I219" s="14">
        <f t="shared" si="21"/>
        <v>48</v>
      </c>
    </row>
    <row r="220" spans="1:9" s="2" customFormat="1" ht="12">
      <c r="A220" s="2" t="s">
        <v>42</v>
      </c>
      <c r="B220" s="12">
        <v>3</v>
      </c>
      <c r="C220" s="2" t="s">
        <v>112</v>
      </c>
      <c r="G220" s="14">
        <v>48</v>
      </c>
      <c r="H220" s="14"/>
      <c r="I220" s="14">
        <f t="shared" si="21"/>
        <v>144</v>
      </c>
    </row>
    <row r="221" spans="1:9" s="2" customFormat="1" ht="12">
      <c r="A221" s="2" t="s">
        <v>43</v>
      </c>
      <c r="B221" s="12">
        <v>13</v>
      </c>
      <c r="C221" s="2" t="s">
        <v>99</v>
      </c>
      <c r="G221" s="14">
        <v>48</v>
      </c>
      <c r="H221" s="14"/>
      <c r="I221" s="14">
        <f>G221*B221</f>
        <v>624</v>
      </c>
    </row>
    <row r="222" spans="1:9" s="2" customFormat="1" ht="12">
      <c r="A222" s="2" t="s">
        <v>44</v>
      </c>
      <c r="B222" s="12">
        <v>5</v>
      </c>
      <c r="C222" s="2" t="s">
        <v>118</v>
      </c>
      <c r="G222" s="14">
        <v>48</v>
      </c>
      <c r="H222" s="14"/>
      <c r="I222" s="14">
        <f t="shared" si="21"/>
        <v>240</v>
      </c>
    </row>
    <row r="223" spans="1:9" s="2" customFormat="1" ht="12">
      <c r="A223" s="2" t="s">
        <v>89</v>
      </c>
      <c r="B223" s="12">
        <v>1</v>
      </c>
      <c r="C223" s="2" t="s">
        <v>127</v>
      </c>
      <c r="G223" s="14">
        <v>48</v>
      </c>
      <c r="H223" s="14"/>
      <c r="I223" s="14">
        <f t="shared" si="21"/>
        <v>48</v>
      </c>
    </row>
    <row r="224" spans="1:9" s="2" customFormat="1" ht="12">
      <c r="A224" s="2" t="s">
        <v>45</v>
      </c>
      <c r="B224" s="12">
        <v>1</v>
      </c>
      <c r="C224" s="2" t="s">
        <v>115</v>
      </c>
      <c r="G224" s="14">
        <v>48</v>
      </c>
      <c r="H224" s="14"/>
      <c r="I224" s="14">
        <f t="shared" si="21"/>
        <v>48</v>
      </c>
    </row>
    <row r="225" spans="1:9" s="2" customFormat="1" ht="12">
      <c r="A225" s="2" t="s">
        <v>46</v>
      </c>
      <c r="B225" s="12">
        <v>1</v>
      </c>
      <c r="C225" s="2" t="s">
        <v>176</v>
      </c>
      <c r="G225" s="14">
        <v>215</v>
      </c>
      <c r="H225" s="14"/>
      <c r="I225" s="14">
        <f t="shared" si="21"/>
        <v>215</v>
      </c>
    </row>
    <row r="226" spans="1:9" s="2" customFormat="1" ht="12">
      <c r="A226" s="2" t="s">
        <v>47</v>
      </c>
      <c r="B226" s="12">
        <v>8</v>
      </c>
      <c r="C226" s="2" t="s">
        <v>178</v>
      </c>
      <c r="G226" s="14">
        <v>58</v>
      </c>
      <c r="H226" s="14"/>
      <c r="I226" s="14">
        <f t="shared" si="21"/>
        <v>464</v>
      </c>
    </row>
    <row r="227" spans="1:9" s="2" customFormat="1" ht="12">
      <c r="B227" s="12"/>
      <c r="G227" s="14"/>
      <c r="H227" s="14"/>
      <c r="I227" s="14"/>
    </row>
    <row r="228" spans="1:9" s="2" customFormat="1" ht="12">
      <c r="A228" s="56" t="s">
        <v>187</v>
      </c>
      <c r="B228" s="56"/>
      <c r="C228" s="56"/>
      <c r="D228" s="56"/>
      <c r="E228" s="56"/>
      <c r="F228" s="56"/>
      <c r="G228" s="56"/>
      <c r="H228" s="7"/>
      <c r="I228" s="53">
        <f>SUM(I231:I245)</f>
        <v>9354</v>
      </c>
    </row>
    <row r="229" spans="1:9" s="2" customFormat="1" ht="12">
      <c r="A229" s="57"/>
      <c r="B229" s="57"/>
      <c r="C229" s="57"/>
      <c r="D229" s="57"/>
      <c r="E229" s="57"/>
      <c r="F229" s="57"/>
      <c r="G229" s="57"/>
      <c r="H229" s="9"/>
      <c r="I229" s="54"/>
    </row>
    <row r="230" spans="1:9" s="2" customFormat="1" ht="12">
      <c r="H230" s="5"/>
    </row>
    <row r="231" spans="1:9" s="2" customFormat="1" ht="12">
      <c r="A231" s="2" t="s">
        <v>50</v>
      </c>
      <c r="B231" s="12">
        <v>89</v>
      </c>
      <c r="C231" s="2" t="s">
        <v>98</v>
      </c>
      <c r="G231" s="14">
        <v>52</v>
      </c>
      <c r="H231" s="5"/>
      <c r="I231" s="14">
        <f t="shared" ref="I231:I238" si="22">G231*B231</f>
        <v>4628</v>
      </c>
    </row>
    <row r="232" spans="1:9" s="2" customFormat="1" ht="12">
      <c r="A232" s="2" t="s">
        <v>36</v>
      </c>
      <c r="B232" s="12">
        <v>7</v>
      </c>
      <c r="C232" s="2" t="s">
        <v>116</v>
      </c>
      <c r="G232" s="14">
        <v>130</v>
      </c>
      <c r="H232" s="5"/>
      <c r="I232" s="14">
        <f t="shared" ref="I232" si="23">G232*B232</f>
        <v>910</v>
      </c>
    </row>
    <row r="233" spans="1:9" s="2" customFormat="1" ht="12">
      <c r="A233" s="2" t="s">
        <v>37</v>
      </c>
      <c r="B233" s="12">
        <v>5</v>
      </c>
      <c r="C233" s="2" t="s">
        <v>123</v>
      </c>
      <c r="G233" s="14">
        <v>58</v>
      </c>
      <c r="H233" s="5"/>
      <c r="I233" s="14">
        <f t="shared" ref="I233" si="24">G233*B233</f>
        <v>290</v>
      </c>
    </row>
    <row r="234" spans="1:9" s="2" customFormat="1" ht="12">
      <c r="A234" s="2" t="s">
        <v>38</v>
      </c>
      <c r="B234" s="12">
        <v>5</v>
      </c>
      <c r="C234" s="2" t="s">
        <v>114</v>
      </c>
      <c r="G234" s="14">
        <v>175</v>
      </c>
      <c r="H234" s="5"/>
      <c r="I234" s="14">
        <f t="shared" si="22"/>
        <v>875</v>
      </c>
    </row>
    <row r="235" spans="1:9" s="2" customFormat="1" ht="12">
      <c r="A235" s="2" t="s">
        <v>39</v>
      </c>
      <c r="B235" s="12">
        <v>2</v>
      </c>
      <c r="C235" s="2" t="s">
        <v>120</v>
      </c>
      <c r="G235" s="14">
        <v>265</v>
      </c>
      <c r="H235" s="5"/>
      <c r="I235" s="14">
        <f t="shared" si="22"/>
        <v>530</v>
      </c>
    </row>
    <row r="236" spans="1:9" s="2" customFormat="1" ht="12">
      <c r="A236" s="2" t="s">
        <v>40</v>
      </c>
      <c r="B236" s="12">
        <v>3</v>
      </c>
      <c r="C236" s="2" t="s">
        <v>112</v>
      </c>
      <c r="G236" s="14">
        <v>58</v>
      </c>
      <c r="H236" s="5"/>
      <c r="I236" s="14">
        <f t="shared" si="22"/>
        <v>174</v>
      </c>
    </row>
    <row r="237" spans="1:9" s="2" customFormat="1" ht="12">
      <c r="A237" s="2" t="s">
        <v>41</v>
      </c>
      <c r="B237" s="12">
        <v>1</v>
      </c>
      <c r="C237" s="2" t="s">
        <v>125</v>
      </c>
      <c r="G237" s="14">
        <v>58</v>
      </c>
      <c r="H237" s="5"/>
      <c r="I237" s="14">
        <f t="shared" si="22"/>
        <v>58</v>
      </c>
    </row>
    <row r="238" spans="1:9" s="2" customFormat="1" ht="12">
      <c r="A238" s="2" t="s">
        <v>42</v>
      </c>
      <c r="B238" s="12">
        <v>1</v>
      </c>
      <c r="C238" s="2" t="s">
        <v>126</v>
      </c>
      <c r="G238" s="14">
        <v>58</v>
      </c>
      <c r="H238" s="5"/>
      <c r="I238" s="14">
        <f t="shared" si="22"/>
        <v>58</v>
      </c>
    </row>
    <row r="239" spans="1:9" s="2" customFormat="1" ht="12">
      <c r="A239" s="2" t="s">
        <v>43</v>
      </c>
      <c r="B239" s="12">
        <v>17</v>
      </c>
      <c r="C239" s="2" t="s">
        <v>99</v>
      </c>
      <c r="G239" s="14">
        <v>48</v>
      </c>
      <c r="H239" s="5"/>
      <c r="I239" s="14">
        <f t="shared" ref="I239" si="25">G239*B239</f>
        <v>816</v>
      </c>
    </row>
    <row r="240" spans="1:9" s="2" customFormat="1" ht="12">
      <c r="A240" s="2" t="s">
        <v>44</v>
      </c>
      <c r="B240" s="12">
        <v>1</v>
      </c>
      <c r="C240" s="2" t="s">
        <v>118</v>
      </c>
      <c r="G240" s="14">
        <v>48</v>
      </c>
      <c r="H240" s="5"/>
      <c r="I240" s="14">
        <f t="shared" ref="I240:I242" si="26">G240*B240</f>
        <v>48</v>
      </c>
    </row>
    <row r="241" spans="1:9" s="2" customFormat="1" ht="12">
      <c r="A241" s="2" t="s">
        <v>89</v>
      </c>
      <c r="B241" s="12">
        <v>4</v>
      </c>
      <c r="C241" s="2" t="s">
        <v>117</v>
      </c>
      <c r="G241" s="14">
        <v>48</v>
      </c>
      <c r="H241" s="5"/>
      <c r="I241" s="14">
        <f t="shared" si="26"/>
        <v>192</v>
      </c>
    </row>
    <row r="242" spans="1:9" s="2" customFormat="1" ht="12">
      <c r="A242" s="2" t="s">
        <v>45</v>
      </c>
      <c r="B242" s="12">
        <v>1</v>
      </c>
      <c r="C242" s="2" t="s">
        <v>128</v>
      </c>
      <c r="G242" s="14">
        <v>48</v>
      </c>
      <c r="H242" s="5"/>
      <c r="I242" s="14">
        <f t="shared" si="26"/>
        <v>48</v>
      </c>
    </row>
    <row r="243" spans="1:9" s="2" customFormat="1" ht="12">
      <c r="A243" s="2" t="s">
        <v>46</v>
      </c>
      <c r="B243" s="12">
        <v>1</v>
      </c>
      <c r="C243" s="2" t="s">
        <v>115</v>
      </c>
      <c r="G243" s="14">
        <v>48</v>
      </c>
      <c r="H243" s="5"/>
      <c r="I243" s="14">
        <f>G243*B243</f>
        <v>48</v>
      </c>
    </row>
    <row r="244" spans="1:9" s="2" customFormat="1" ht="12">
      <c r="A244" s="2" t="s">
        <v>47</v>
      </c>
      <c r="B244" s="12">
        <v>1</v>
      </c>
      <c r="C244" s="2" t="s">
        <v>176</v>
      </c>
      <c r="G244" s="14">
        <v>215</v>
      </c>
      <c r="H244" s="5"/>
      <c r="I244" s="14">
        <f t="shared" ref="I244" si="27">G244*B244</f>
        <v>215</v>
      </c>
    </row>
    <row r="245" spans="1:9" s="2" customFormat="1" ht="12">
      <c r="A245" s="2" t="s">
        <v>54</v>
      </c>
      <c r="B245" s="12">
        <v>8</v>
      </c>
      <c r="C245" s="2" t="s">
        <v>178</v>
      </c>
      <c r="G245" s="14">
        <v>58</v>
      </c>
      <c r="H245" s="5"/>
      <c r="I245" s="14">
        <f t="shared" ref="I245" si="28">G245*B245</f>
        <v>464</v>
      </c>
    </row>
    <row r="246" spans="1:9" s="2" customFormat="1" ht="12">
      <c r="B246" s="12"/>
      <c r="G246" s="14"/>
      <c r="H246" s="5"/>
      <c r="I246" s="14"/>
    </row>
    <row r="247" spans="1:9" s="2" customFormat="1" ht="12">
      <c r="A247" s="56" t="s">
        <v>188</v>
      </c>
      <c r="B247" s="56"/>
      <c r="C247" s="56"/>
      <c r="D247" s="56"/>
      <c r="E247" s="56"/>
      <c r="F247" s="56"/>
      <c r="G247" s="56"/>
      <c r="H247" s="7"/>
      <c r="I247" s="53">
        <f>SUM(I250:I277)</f>
        <v>10676</v>
      </c>
    </row>
    <row r="248" spans="1:9" s="2" customFormat="1" ht="12">
      <c r="A248" s="57"/>
      <c r="B248" s="57"/>
      <c r="C248" s="57"/>
      <c r="D248" s="57"/>
      <c r="E248" s="57"/>
      <c r="F248" s="57"/>
      <c r="G248" s="57"/>
      <c r="H248" s="9"/>
      <c r="I248" s="54"/>
    </row>
    <row r="249" spans="1:9" s="2" customFormat="1" ht="12">
      <c r="H249" s="5"/>
    </row>
    <row r="250" spans="1:9" s="2" customFormat="1" ht="12">
      <c r="A250" s="2" t="s">
        <v>35</v>
      </c>
      <c r="B250" s="12">
        <v>86</v>
      </c>
      <c r="C250" s="2" t="s">
        <v>57</v>
      </c>
      <c r="G250" s="14">
        <v>52</v>
      </c>
      <c r="H250" s="5"/>
      <c r="I250" s="14">
        <f>G250*B250</f>
        <v>4472</v>
      </c>
    </row>
    <row r="251" spans="1:9" s="2" customFormat="1" ht="12">
      <c r="A251" s="2" t="s">
        <v>36</v>
      </c>
      <c r="B251" s="12">
        <v>6</v>
      </c>
      <c r="C251" s="2" t="s">
        <v>116</v>
      </c>
      <c r="G251" s="14">
        <v>130</v>
      </c>
      <c r="H251" s="14"/>
      <c r="I251" s="14">
        <f>G251*B251</f>
        <v>780</v>
      </c>
    </row>
    <row r="252" spans="1:9" s="2" customFormat="1" ht="12">
      <c r="A252" s="2" t="s">
        <v>37</v>
      </c>
      <c r="B252" s="12">
        <v>17</v>
      </c>
      <c r="C252" s="2" t="s">
        <v>99</v>
      </c>
      <c r="G252" s="14">
        <v>48</v>
      </c>
      <c r="H252" s="14"/>
      <c r="I252" s="14">
        <f>G252*B252</f>
        <v>816</v>
      </c>
    </row>
    <row r="253" spans="1:9" s="2" customFormat="1" ht="12">
      <c r="A253" s="2" t="s">
        <v>38</v>
      </c>
      <c r="B253" s="12">
        <v>5</v>
      </c>
      <c r="C253" s="2" t="s">
        <v>123</v>
      </c>
      <c r="G253" s="14">
        <v>58</v>
      </c>
      <c r="H253" s="14"/>
      <c r="I253" s="14">
        <f>G253*B253</f>
        <v>290</v>
      </c>
    </row>
    <row r="254" spans="1:9" s="2" customFormat="1" ht="12">
      <c r="A254" s="2" t="s">
        <v>39</v>
      </c>
      <c r="B254" s="12">
        <v>5</v>
      </c>
      <c r="C254" s="2" t="s">
        <v>129</v>
      </c>
      <c r="G254" s="14">
        <v>175</v>
      </c>
      <c r="H254" s="14"/>
      <c r="I254" s="14">
        <f t="shared" ref="I254:I255" si="29">G254*B254</f>
        <v>875</v>
      </c>
    </row>
    <row r="255" spans="1:9" s="2" customFormat="1" ht="12">
      <c r="A255" s="2" t="s">
        <v>40</v>
      </c>
      <c r="B255" s="12">
        <v>2</v>
      </c>
      <c r="C255" s="2" t="s">
        <v>120</v>
      </c>
      <c r="G255" s="14">
        <v>265</v>
      </c>
      <c r="H255" s="14"/>
      <c r="I255" s="14">
        <f t="shared" si="29"/>
        <v>530</v>
      </c>
    </row>
    <row r="256" spans="1:9" s="2" customFormat="1" ht="12">
      <c r="A256" s="2" t="s">
        <v>41</v>
      </c>
      <c r="B256" s="12">
        <v>1</v>
      </c>
      <c r="C256" s="2" t="s">
        <v>126</v>
      </c>
      <c r="G256" s="14">
        <v>58</v>
      </c>
      <c r="H256" s="14"/>
      <c r="I256" s="14">
        <f>G256*B256</f>
        <v>58</v>
      </c>
    </row>
    <row r="257" spans="1:9" s="2" customFormat="1" ht="12">
      <c r="A257" s="2" t="s">
        <v>42</v>
      </c>
      <c r="B257" s="12">
        <v>3</v>
      </c>
      <c r="C257" s="2" t="s">
        <v>136</v>
      </c>
      <c r="G257" s="14">
        <v>58</v>
      </c>
      <c r="H257" s="14"/>
      <c r="I257" s="14">
        <f t="shared" ref="I257:I277" si="30">G257*B257</f>
        <v>174</v>
      </c>
    </row>
    <row r="258" spans="1:9" s="2" customFormat="1" ht="12">
      <c r="A258" s="2" t="s">
        <v>43</v>
      </c>
      <c r="B258" s="12">
        <v>1</v>
      </c>
      <c r="C258" s="2" t="s">
        <v>130</v>
      </c>
      <c r="G258" s="14">
        <v>58</v>
      </c>
      <c r="H258" s="14"/>
      <c r="I258" s="14">
        <f t="shared" si="30"/>
        <v>58</v>
      </c>
    </row>
    <row r="259" spans="1:9" s="2" customFormat="1" ht="12">
      <c r="A259" s="2" t="s">
        <v>44</v>
      </c>
      <c r="B259" s="12">
        <v>6</v>
      </c>
      <c r="C259" s="2" t="s">
        <v>118</v>
      </c>
      <c r="G259" s="14">
        <v>48</v>
      </c>
      <c r="H259" s="14"/>
      <c r="I259" s="14">
        <f t="shared" si="30"/>
        <v>288</v>
      </c>
    </row>
    <row r="260" spans="1:9" s="2" customFormat="1" ht="12">
      <c r="A260" s="2" t="s">
        <v>89</v>
      </c>
      <c r="B260" s="12">
        <v>2</v>
      </c>
      <c r="C260" s="2" t="s">
        <v>131</v>
      </c>
      <c r="G260" s="14">
        <v>58</v>
      </c>
      <c r="H260" s="14"/>
      <c r="I260" s="14">
        <f t="shared" si="30"/>
        <v>116</v>
      </c>
    </row>
    <row r="261" spans="1:9" s="2" customFormat="1" ht="12">
      <c r="A261" s="2" t="s">
        <v>45</v>
      </c>
      <c r="B261" s="12">
        <v>2</v>
      </c>
      <c r="C261" s="2" t="s">
        <v>132</v>
      </c>
      <c r="G261" s="14">
        <v>58</v>
      </c>
      <c r="H261" s="14"/>
      <c r="I261" s="14">
        <f t="shared" si="30"/>
        <v>116</v>
      </c>
    </row>
    <row r="262" spans="1:9" s="2" customFormat="1" ht="12">
      <c r="A262" s="2" t="s">
        <v>46</v>
      </c>
      <c r="B262" s="12">
        <v>1</v>
      </c>
      <c r="C262" s="2" t="s">
        <v>180</v>
      </c>
      <c r="G262" s="14">
        <v>78</v>
      </c>
      <c r="H262" s="14"/>
      <c r="I262" s="14">
        <f t="shared" ref="I262:I273" si="31">G262*B262</f>
        <v>78</v>
      </c>
    </row>
    <row r="263" spans="1:9" s="2" customFormat="1" ht="12">
      <c r="A263" s="2" t="s">
        <v>47</v>
      </c>
      <c r="B263" s="12">
        <v>1</v>
      </c>
      <c r="C263" s="2" t="s">
        <v>181</v>
      </c>
      <c r="G263" s="14">
        <v>415</v>
      </c>
      <c r="H263" s="14"/>
      <c r="I263" s="14">
        <f t="shared" si="31"/>
        <v>415</v>
      </c>
    </row>
    <row r="264" spans="1:9" s="2" customFormat="1" ht="12">
      <c r="B264" s="12"/>
      <c r="G264" s="14"/>
      <c r="H264" s="14"/>
      <c r="I264" s="14"/>
    </row>
    <row r="265" spans="1:9" s="2" customFormat="1" ht="12">
      <c r="B265" s="12"/>
      <c r="G265" s="14"/>
      <c r="H265" s="14"/>
      <c r="I265" s="14"/>
    </row>
    <row r="266" spans="1:9" s="2" customFormat="1" ht="12">
      <c r="A266" s="11" t="s">
        <v>30</v>
      </c>
      <c r="B266" s="10"/>
      <c r="C266" s="21"/>
      <c r="D266" s="12"/>
      <c r="E266" s="29" t="s">
        <v>31</v>
      </c>
      <c r="F266" s="12" t="s">
        <v>65</v>
      </c>
      <c r="G266" s="55" t="s">
        <v>97</v>
      </c>
      <c r="H266" s="55"/>
      <c r="I266" s="35" t="s">
        <v>169</v>
      </c>
    </row>
    <row r="267" spans="1:9" s="2" customFormat="1" ht="12">
      <c r="B267" s="12"/>
      <c r="G267" s="14"/>
      <c r="H267" s="14"/>
      <c r="I267" s="14"/>
    </row>
    <row r="268" spans="1:9" s="2" customFormat="1" ht="12">
      <c r="A268" s="56" t="s">
        <v>219</v>
      </c>
      <c r="B268" s="56"/>
      <c r="C268" s="56"/>
      <c r="D268" s="56"/>
      <c r="E268" s="56"/>
      <c r="F268" s="56"/>
      <c r="G268" s="56"/>
      <c r="H268" s="7"/>
      <c r="I268" s="53"/>
    </row>
    <row r="269" spans="1:9" s="2" customFormat="1" ht="12">
      <c r="A269" s="57"/>
      <c r="B269" s="57"/>
      <c r="C269" s="57"/>
      <c r="D269" s="57"/>
      <c r="E269" s="57"/>
      <c r="F269" s="57"/>
      <c r="G269" s="57"/>
      <c r="H269" s="9"/>
      <c r="I269" s="54"/>
    </row>
    <row r="270" spans="1:9" s="2" customFormat="1" ht="12">
      <c r="B270" s="12"/>
      <c r="G270" s="14"/>
      <c r="H270" s="14"/>
      <c r="I270" s="14"/>
    </row>
    <row r="271" spans="1:9" s="2" customFormat="1" ht="12">
      <c r="A271" s="2" t="s">
        <v>54</v>
      </c>
      <c r="B271" s="12">
        <v>2</v>
      </c>
      <c r="C271" s="2" t="s">
        <v>182</v>
      </c>
      <c r="G271" s="14">
        <v>78</v>
      </c>
      <c r="H271" s="14"/>
      <c r="I271" s="14">
        <f t="shared" si="31"/>
        <v>156</v>
      </c>
    </row>
    <row r="272" spans="1:9" s="2" customFormat="1" ht="12">
      <c r="A272" s="2" t="s">
        <v>55</v>
      </c>
      <c r="B272" s="12">
        <v>1</v>
      </c>
      <c r="C272" s="2" t="s">
        <v>183</v>
      </c>
      <c r="G272" s="14">
        <v>415</v>
      </c>
      <c r="H272" s="14"/>
      <c r="I272" s="14">
        <f t="shared" si="31"/>
        <v>415</v>
      </c>
    </row>
    <row r="273" spans="1:9" s="2" customFormat="1" ht="12">
      <c r="A273" s="2" t="s">
        <v>56</v>
      </c>
      <c r="B273" s="12">
        <v>2</v>
      </c>
      <c r="C273" s="2" t="s">
        <v>184</v>
      </c>
      <c r="G273" s="14">
        <v>58</v>
      </c>
      <c r="H273" s="14"/>
      <c r="I273" s="14">
        <f t="shared" si="31"/>
        <v>116</v>
      </c>
    </row>
    <row r="274" spans="1:9" s="2" customFormat="1" ht="12">
      <c r="A274" s="2" t="s">
        <v>90</v>
      </c>
      <c r="B274" s="12">
        <v>2</v>
      </c>
      <c r="C274" s="2" t="s">
        <v>133</v>
      </c>
      <c r="G274" s="14">
        <v>98</v>
      </c>
      <c r="H274" s="14"/>
      <c r="I274" s="14">
        <f t="shared" si="30"/>
        <v>196</v>
      </c>
    </row>
    <row r="275" spans="1:9" s="2" customFormat="1" ht="12">
      <c r="A275" s="2" t="s">
        <v>91</v>
      </c>
      <c r="B275" s="12">
        <v>1</v>
      </c>
      <c r="C275" s="2" t="s">
        <v>115</v>
      </c>
      <c r="G275" s="14">
        <v>48</v>
      </c>
      <c r="H275" s="14"/>
      <c r="I275" s="14">
        <f t="shared" si="30"/>
        <v>48</v>
      </c>
    </row>
    <row r="276" spans="1:9" s="2" customFormat="1" ht="12">
      <c r="A276" s="2" t="s">
        <v>92</v>
      </c>
      <c r="B276" s="12">
        <v>1</v>
      </c>
      <c r="C276" s="2" t="s">
        <v>176</v>
      </c>
      <c r="G276" s="14">
        <v>215</v>
      </c>
      <c r="H276" s="14"/>
      <c r="I276" s="14">
        <f t="shared" si="30"/>
        <v>215</v>
      </c>
    </row>
    <row r="277" spans="1:9" s="2" customFormat="1" ht="12">
      <c r="A277" s="2" t="s">
        <v>93</v>
      </c>
      <c r="B277" s="12">
        <v>8</v>
      </c>
      <c r="C277" s="2" t="s">
        <v>179</v>
      </c>
      <c r="G277" s="14">
        <v>58</v>
      </c>
      <c r="H277" s="14"/>
      <c r="I277" s="14">
        <f t="shared" si="30"/>
        <v>464</v>
      </c>
    </row>
    <row r="278" spans="1:9" s="2" customFormat="1" ht="12">
      <c r="B278" s="12"/>
      <c r="G278" s="14"/>
      <c r="H278" s="14"/>
      <c r="I278" s="14"/>
    </row>
    <row r="279" spans="1:9" s="2" customFormat="1" ht="12">
      <c r="A279" s="56" t="s">
        <v>189</v>
      </c>
      <c r="B279" s="56"/>
      <c r="C279" s="56"/>
      <c r="D279" s="58"/>
      <c r="E279" s="58"/>
      <c r="F279" s="58"/>
      <c r="G279" s="6"/>
      <c r="H279" s="7"/>
      <c r="I279" s="53">
        <f>SUM(I282:I292)</f>
        <v>4491</v>
      </c>
    </row>
    <row r="280" spans="1:9" s="2" customFormat="1" ht="12">
      <c r="A280" s="57"/>
      <c r="B280" s="57"/>
      <c r="C280" s="57"/>
      <c r="D280" s="59"/>
      <c r="E280" s="59"/>
      <c r="F280" s="59"/>
      <c r="G280" s="8"/>
      <c r="H280" s="9"/>
      <c r="I280" s="54"/>
    </row>
    <row r="281" spans="1:9" s="2" customFormat="1" ht="12">
      <c r="H281" s="5"/>
    </row>
    <row r="282" spans="1:9" s="2" customFormat="1" ht="12">
      <c r="A282" s="2" t="s">
        <v>50</v>
      </c>
      <c r="B282" s="12">
        <v>1</v>
      </c>
      <c r="C282" s="2" t="s">
        <v>185</v>
      </c>
      <c r="G282" s="14">
        <v>715</v>
      </c>
      <c r="H282" s="5"/>
      <c r="I282" s="14">
        <f t="shared" ref="I282:I292" si="32">G282*B282</f>
        <v>715</v>
      </c>
    </row>
    <row r="283" spans="1:9" s="2" customFormat="1" ht="12">
      <c r="A283" s="2" t="s">
        <v>37</v>
      </c>
      <c r="B283" s="12">
        <v>1</v>
      </c>
      <c r="C283" s="2" t="s">
        <v>58</v>
      </c>
      <c r="G283" s="14">
        <v>410</v>
      </c>
      <c r="H283" s="5"/>
      <c r="I283" s="14">
        <f t="shared" si="32"/>
        <v>410</v>
      </c>
    </row>
    <row r="284" spans="1:9" s="2" customFormat="1" ht="12">
      <c r="A284" s="2" t="s">
        <v>38</v>
      </c>
      <c r="B284" s="12">
        <v>1</v>
      </c>
      <c r="C284" s="2" t="s">
        <v>59</v>
      </c>
      <c r="G284" s="14">
        <v>165</v>
      </c>
      <c r="H284" s="5"/>
      <c r="I284" s="14">
        <f t="shared" si="32"/>
        <v>165</v>
      </c>
    </row>
    <row r="285" spans="1:9" s="2" customFormat="1" ht="12">
      <c r="A285" s="2" t="s">
        <v>39</v>
      </c>
      <c r="B285" s="12">
        <v>3</v>
      </c>
      <c r="C285" s="2" t="s">
        <v>153</v>
      </c>
      <c r="G285" s="14">
        <v>165</v>
      </c>
      <c r="H285" s="5"/>
      <c r="I285" s="14">
        <f t="shared" si="32"/>
        <v>495</v>
      </c>
    </row>
    <row r="286" spans="1:9" s="2" customFormat="1" ht="12">
      <c r="A286" s="2" t="s">
        <v>40</v>
      </c>
      <c r="B286" s="12">
        <v>1</v>
      </c>
      <c r="C286" s="2" t="s">
        <v>156</v>
      </c>
      <c r="G286" s="14">
        <v>58</v>
      </c>
      <c r="H286" s="5"/>
      <c r="I286" s="14">
        <f t="shared" si="32"/>
        <v>58</v>
      </c>
    </row>
    <row r="287" spans="1:9" s="2" customFormat="1" ht="12">
      <c r="A287" s="2" t="s">
        <v>41</v>
      </c>
      <c r="B287" s="12">
        <v>1</v>
      </c>
      <c r="C287" s="2" t="s">
        <v>157</v>
      </c>
      <c r="G287" s="14">
        <v>58</v>
      </c>
      <c r="H287" s="5"/>
      <c r="I287" s="14">
        <f t="shared" si="32"/>
        <v>58</v>
      </c>
    </row>
    <row r="288" spans="1:9" s="2" customFormat="1" ht="12">
      <c r="A288" s="2" t="s">
        <v>42</v>
      </c>
      <c r="B288" s="12">
        <v>3</v>
      </c>
      <c r="C288" s="2" t="s">
        <v>154</v>
      </c>
      <c r="G288" s="14">
        <v>335</v>
      </c>
      <c r="H288" s="5"/>
      <c r="I288" s="14">
        <f t="shared" si="32"/>
        <v>1005</v>
      </c>
    </row>
    <row r="289" spans="1:9" s="2" customFormat="1" ht="12">
      <c r="B289" s="12"/>
      <c r="C289" s="2" t="s">
        <v>155</v>
      </c>
      <c r="G289" s="14"/>
      <c r="H289" s="5"/>
      <c r="I289" s="14"/>
    </row>
    <row r="290" spans="1:9" s="2" customFormat="1" ht="12">
      <c r="A290" s="2" t="s">
        <v>43</v>
      </c>
      <c r="B290" s="12">
        <v>2</v>
      </c>
      <c r="C290" s="2" t="s">
        <v>158</v>
      </c>
      <c r="G290" s="14">
        <v>185</v>
      </c>
      <c r="H290" s="5"/>
      <c r="I290" s="14">
        <f t="shared" si="32"/>
        <v>370</v>
      </c>
    </row>
    <row r="291" spans="1:9" s="2" customFormat="1" ht="12">
      <c r="A291" s="2" t="s">
        <v>44</v>
      </c>
      <c r="B291" s="12">
        <v>4</v>
      </c>
      <c r="C291" s="2" t="s">
        <v>159</v>
      </c>
      <c r="G291" s="14">
        <v>155</v>
      </c>
      <c r="H291" s="5"/>
      <c r="I291" s="14">
        <f t="shared" si="32"/>
        <v>620</v>
      </c>
    </row>
    <row r="292" spans="1:9" s="2" customFormat="1" ht="12">
      <c r="A292" s="2" t="s">
        <v>89</v>
      </c>
      <c r="B292" s="12">
        <v>1</v>
      </c>
      <c r="C292" s="2" t="s">
        <v>160</v>
      </c>
      <c r="G292" s="14">
        <v>595</v>
      </c>
      <c r="H292" s="5"/>
      <c r="I292" s="14">
        <f t="shared" si="32"/>
        <v>595</v>
      </c>
    </row>
    <row r="294" spans="1:9" s="2" customFormat="1" ht="12">
      <c r="B294" s="22" t="s">
        <v>198</v>
      </c>
      <c r="C294" s="22"/>
      <c r="D294" s="22"/>
      <c r="E294" s="22"/>
      <c r="F294" s="22"/>
      <c r="G294" s="22"/>
      <c r="H294" s="23">
        <f>I14+I28+I40+I77+I94+I109+I119+I129+I139+I150+I176+I203+I205+I205+I228+I247+I279</f>
        <v>125853</v>
      </c>
      <c r="I294" s="14"/>
    </row>
    <row r="295" spans="1:9" s="2" customFormat="1" ht="12">
      <c r="B295" s="24" t="s">
        <v>199</v>
      </c>
      <c r="C295" s="24"/>
      <c r="D295" s="24"/>
      <c r="E295" s="24"/>
      <c r="F295" s="24"/>
      <c r="G295" s="24"/>
      <c r="H295" s="25">
        <v>0</v>
      </c>
      <c r="I295" s="14"/>
    </row>
    <row r="296" spans="1:9" s="2" customFormat="1" ht="12">
      <c r="B296" s="3" t="s">
        <v>220</v>
      </c>
      <c r="C296" s="3"/>
      <c r="D296" s="3"/>
      <c r="E296" s="3"/>
      <c r="F296" s="3"/>
      <c r="G296" s="3"/>
      <c r="H296" s="26">
        <v>4860</v>
      </c>
      <c r="I296" s="14"/>
    </row>
    <row r="297" spans="1:9" s="2" customFormat="1" ht="12" customHeight="1">
      <c r="B297" s="69" t="s">
        <v>221</v>
      </c>
      <c r="C297" s="69"/>
      <c r="D297" s="69"/>
      <c r="E297" s="69"/>
      <c r="F297" s="69"/>
      <c r="G297" s="69"/>
      <c r="H297" s="68">
        <v>1200</v>
      </c>
      <c r="I297" s="14"/>
    </row>
    <row r="298" spans="1:9" s="2" customFormat="1" ht="12">
      <c r="B298" s="70"/>
      <c r="C298" s="70"/>
      <c r="D298" s="70"/>
      <c r="E298" s="70"/>
      <c r="F298" s="70"/>
      <c r="G298" s="70"/>
      <c r="H298" s="71"/>
      <c r="I298" s="14"/>
    </row>
    <row r="299" spans="1:9" s="2" customFormat="1" ht="12">
      <c r="B299" s="22" t="s">
        <v>222</v>
      </c>
      <c r="C299" s="6"/>
      <c r="D299" s="6"/>
      <c r="E299" s="6"/>
      <c r="F299" s="6"/>
      <c r="G299" s="6"/>
      <c r="H299" s="49">
        <v>1800</v>
      </c>
      <c r="I299" s="14"/>
    </row>
    <row r="300" spans="1:9" s="2" customFormat="1" ht="12">
      <c r="B300" s="72" t="s">
        <v>200</v>
      </c>
      <c r="C300" s="72"/>
      <c r="D300" s="72"/>
      <c r="E300" s="72"/>
      <c r="F300" s="72"/>
      <c r="G300" s="72"/>
      <c r="H300" s="68">
        <v>24500</v>
      </c>
      <c r="I300" s="14"/>
    </row>
    <row r="301" spans="1:9" s="2" customFormat="1" ht="12">
      <c r="B301" s="73"/>
      <c r="C301" s="73"/>
      <c r="D301" s="73"/>
      <c r="E301" s="73"/>
      <c r="F301" s="73"/>
      <c r="G301" s="73"/>
      <c r="H301" s="54"/>
      <c r="I301" s="14"/>
    </row>
    <row r="302" spans="1:9" s="2" customFormat="1" ht="12">
      <c r="B302" s="45"/>
      <c r="C302" s="45"/>
      <c r="D302" s="45"/>
      <c r="E302" s="45"/>
      <c r="F302" s="45"/>
      <c r="G302" s="45"/>
      <c r="H302" s="43"/>
      <c r="I302" s="14"/>
    </row>
    <row r="303" spans="1:9" s="2" customFormat="1" ht="12">
      <c r="B303" s="60" t="s">
        <v>0</v>
      </c>
      <c r="C303" s="63"/>
      <c r="D303" s="63"/>
      <c r="E303" s="63"/>
      <c r="F303" s="63"/>
      <c r="G303" s="63"/>
      <c r="H303" s="63"/>
    </row>
    <row r="304" spans="1:9" s="2" customFormat="1" ht="12">
      <c r="B304" s="63"/>
      <c r="C304" s="63"/>
      <c r="D304" s="63"/>
      <c r="E304" s="63"/>
      <c r="F304" s="63"/>
      <c r="G304" s="63"/>
      <c r="H304" s="63"/>
    </row>
    <row r="305" spans="1:9" s="2" customFormat="1" ht="12">
      <c r="B305" s="63"/>
      <c r="C305" s="63"/>
      <c r="D305" s="63"/>
      <c r="E305" s="63"/>
      <c r="F305" s="63"/>
      <c r="G305" s="63"/>
      <c r="H305" s="63"/>
    </row>
    <row r="306" spans="1:9" s="2" customFormat="1" ht="12">
      <c r="B306" s="63"/>
      <c r="C306" s="63"/>
      <c r="D306" s="63"/>
      <c r="E306" s="63"/>
      <c r="F306" s="63"/>
      <c r="G306" s="63"/>
      <c r="H306" s="63"/>
    </row>
    <row r="307" spans="1:9" s="2" customFormat="1" ht="12">
      <c r="B307" s="63"/>
      <c r="C307" s="63"/>
      <c r="D307" s="63"/>
      <c r="E307" s="63"/>
      <c r="F307" s="63"/>
      <c r="G307" s="63"/>
      <c r="H307" s="63"/>
    </row>
    <row r="308" spans="1:9" s="2" customFormat="1" ht="12">
      <c r="B308" s="63"/>
      <c r="C308" s="63"/>
      <c r="D308" s="63"/>
      <c r="E308" s="63"/>
      <c r="F308" s="63"/>
      <c r="G308" s="63"/>
      <c r="H308" s="63"/>
    </row>
    <row r="309" spans="1:9" s="2" customFormat="1" ht="12">
      <c r="B309" s="63"/>
      <c r="C309" s="63"/>
      <c r="D309" s="63"/>
      <c r="E309" s="63"/>
      <c r="F309" s="63"/>
      <c r="G309" s="63"/>
      <c r="H309" s="63"/>
    </row>
    <row r="310" spans="1:9" s="2" customFormat="1" thickBot="1">
      <c r="B310" s="37"/>
      <c r="C310" s="37"/>
      <c r="D310" s="37"/>
      <c r="E310" s="37"/>
      <c r="F310" s="37"/>
      <c r="G310" s="37"/>
      <c r="H310" s="37"/>
    </row>
    <row r="311" spans="1:9" s="2" customFormat="1" thickTop="1">
      <c r="B311" s="65" t="s">
        <v>27</v>
      </c>
      <c r="C311" s="65"/>
      <c r="D311" s="27"/>
      <c r="E311" s="27"/>
      <c r="F311" s="27"/>
      <c r="G311" s="27"/>
      <c r="H311" s="61">
        <f>H300+H297+H294+H296+H299</f>
        <v>158213</v>
      </c>
    </row>
    <row r="312" spans="1:9" s="2" customFormat="1" thickBot="1">
      <c r="B312" s="66"/>
      <c r="C312" s="66"/>
      <c r="D312" s="28"/>
      <c r="E312" s="28"/>
      <c r="F312" s="28"/>
      <c r="G312" s="28"/>
      <c r="H312" s="62"/>
    </row>
    <row r="313" spans="1:9" s="2" customFormat="1" thickTop="1">
      <c r="B313" s="42"/>
      <c r="C313" s="42"/>
      <c r="H313" s="38"/>
    </row>
    <row r="314" spans="1:9" s="2" customFormat="1" ht="12">
      <c r="B314" s="42"/>
      <c r="C314" s="42"/>
      <c r="H314" s="38"/>
    </row>
    <row r="315" spans="1:9" s="2" customFormat="1" ht="12">
      <c r="B315" s="42"/>
      <c r="C315" s="42"/>
      <c r="H315" s="38"/>
    </row>
    <row r="316" spans="1:9" s="2" customFormat="1" ht="12">
      <c r="B316" s="42"/>
      <c r="C316" s="42"/>
      <c r="H316" s="38"/>
    </row>
    <row r="317" spans="1:9" s="2" customFormat="1" ht="12">
      <c r="B317" s="42"/>
      <c r="C317" s="42"/>
      <c r="H317" s="38"/>
    </row>
    <row r="318" spans="1:9" s="2" customFormat="1" ht="12">
      <c r="B318" s="42"/>
      <c r="C318" s="42"/>
      <c r="H318" s="38"/>
    </row>
    <row r="319" spans="1:9" s="2" customFormat="1" ht="12">
      <c r="A319" s="11" t="s">
        <v>30</v>
      </c>
      <c r="B319" s="10"/>
      <c r="C319" s="21"/>
      <c r="D319" s="12"/>
      <c r="E319" s="29" t="s">
        <v>31</v>
      </c>
      <c r="F319" s="12" t="s">
        <v>65</v>
      </c>
      <c r="G319" s="55" t="s">
        <v>97</v>
      </c>
      <c r="H319" s="55"/>
      <c r="I319" s="35" t="s">
        <v>201</v>
      </c>
    </row>
    <row r="320" spans="1:9" s="2" customFormat="1" ht="12">
      <c r="B320" s="42"/>
      <c r="C320" s="42"/>
      <c r="H320" s="38"/>
    </row>
    <row r="322" spans="2:8" s="2" customFormat="1" ht="12">
      <c r="B322" s="29" t="s">
        <v>2</v>
      </c>
      <c r="C322" s="3" t="s">
        <v>29</v>
      </c>
    </row>
    <row r="323" spans="2:8" s="2" customFormat="1" ht="12">
      <c r="B323" s="29"/>
      <c r="C323" s="3"/>
    </row>
    <row r="324" spans="2:8" s="2" customFormat="1" ht="12">
      <c r="B324" s="29" t="s">
        <v>24</v>
      </c>
      <c r="C324" s="67" t="s">
        <v>33</v>
      </c>
      <c r="D324" s="67"/>
      <c r="E324" s="67"/>
      <c r="F324" s="67"/>
      <c r="G324" s="67"/>
      <c r="H324" s="67"/>
    </row>
    <row r="325" spans="2:8" s="2" customFormat="1" ht="12">
      <c r="B325" s="29"/>
      <c r="C325" s="67"/>
      <c r="D325" s="67"/>
      <c r="E325" s="67"/>
      <c r="F325" s="67"/>
      <c r="G325" s="67"/>
      <c r="H325" s="67"/>
    </row>
    <row r="326" spans="2:8" s="2" customFormat="1" ht="12">
      <c r="B326" s="29"/>
      <c r="H326" s="5"/>
    </row>
    <row r="327" spans="2:8" s="2" customFormat="1" ht="12">
      <c r="B327" s="29" t="s">
        <v>10</v>
      </c>
      <c r="C327" s="64" t="s">
        <v>9</v>
      </c>
      <c r="D327" s="64"/>
      <c r="E327" s="64"/>
      <c r="F327" s="64"/>
      <c r="G327" s="64"/>
      <c r="H327" s="64"/>
    </row>
    <row r="328" spans="2:8" s="2" customFormat="1" ht="12">
      <c r="B328" s="29"/>
      <c r="C328" s="64"/>
      <c r="D328" s="64"/>
      <c r="E328" s="64"/>
      <c r="F328" s="64"/>
      <c r="G328" s="64"/>
      <c r="H328" s="64"/>
    </row>
    <row r="329" spans="2:8" s="2" customFormat="1" ht="12">
      <c r="B329" s="29"/>
      <c r="C329" s="30"/>
      <c r="D329" s="30"/>
      <c r="E329" s="30"/>
      <c r="F329" s="30"/>
      <c r="G329" s="30"/>
      <c r="H329" s="31"/>
    </row>
    <row r="330" spans="2:8" s="2" customFormat="1" ht="12">
      <c r="B330" s="29" t="s">
        <v>11</v>
      </c>
      <c r="C330" s="64" t="s">
        <v>13</v>
      </c>
      <c r="D330" s="64"/>
      <c r="E330" s="64"/>
      <c r="F330" s="64"/>
      <c r="G330" s="64"/>
      <c r="H330" s="64"/>
    </row>
    <row r="331" spans="2:8" s="2" customFormat="1" ht="12">
      <c r="B331" s="29"/>
      <c r="C331" s="64"/>
      <c r="D331" s="64"/>
      <c r="E331" s="64"/>
      <c r="F331" s="64"/>
      <c r="G331" s="64"/>
      <c r="H331" s="64"/>
    </row>
    <row r="332" spans="2:8" s="2" customFormat="1" ht="12">
      <c r="B332" s="29"/>
      <c r="C332" s="3"/>
      <c r="D332" s="3"/>
      <c r="E332" s="3"/>
      <c r="F332" s="3"/>
      <c r="G332" s="3"/>
      <c r="H332" s="32"/>
    </row>
    <row r="333" spans="2:8" s="2" customFormat="1" ht="12">
      <c r="B333" s="29" t="s">
        <v>12</v>
      </c>
      <c r="C333" s="67" t="s">
        <v>15</v>
      </c>
      <c r="D333" s="67"/>
      <c r="E333" s="67"/>
      <c r="F333" s="67"/>
      <c r="G333" s="67"/>
      <c r="H333" s="67"/>
    </row>
    <row r="334" spans="2:8" s="2" customFormat="1" ht="12">
      <c r="B334" s="29"/>
      <c r="C334" s="67"/>
      <c r="D334" s="67"/>
      <c r="E334" s="67"/>
      <c r="F334" s="67"/>
      <c r="G334" s="67"/>
      <c r="H334" s="67"/>
    </row>
    <row r="335" spans="2:8" s="2" customFormat="1" ht="12">
      <c r="B335" s="29"/>
      <c r="H335" s="5"/>
    </row>
    <row r="336" spans="2:8" s="2" customFormat="1" ht="12">
      <c r="B336" s="29" t="s">
        <v>28</v>
      </c>
      <c r="C336" s="67" t="s">
        <v>3</v>
      </c>
      <c r="D336" s="67"/>
      <c r="E336" s="67"/>
      <c r="F336" s="67"/>
      <c r="G336" s="67"/>
      <c r="H336" s="67"/>
    </row>
    <row r="337" spans="2:9" s="2" customFormat="1" ht="12">
      <c r="B337" s="29"/>
      <c r="C337" s="67"/>
      <c r="D337" s="67"/>
      <c r="E337" s="67"/>
      <c r="F337" s="67"/>
      <c r="G337" s="67"/>
      <c r="H337" s="67"/>
    </row>
    <row r="338" spans="2:9" s="2" customFormat="1" ht="12">
      <c r="B338" s="12"/>
      <c r="H338" s="5"/>
    </row>
    <row r="339" spans="2:9" s="2" customFormat="1" ht="12" customHeight="1">
      <c r="B339" s="12" t="s">
        <v>25</v>
      </c>
      <c r="C339" s="60" t="s">
        <v>1</v>
      </c>
      <c r="D339" s="60"/>
      <c r="E339" s="60"/>
      <c r="F339" s="60"/>
      <c r="G339" s="60"/>
      <c r="H339" s="60"/>
    </row>
    <row r="340" spans="2:9" s="2" customFormat="1" ht="12">
      <c r="B340" s="12"/>
      <c r="C340" s="60"/>
      <c r="D340" s="60"/>
      <c r="E340" s="60"/>
      <c r="F340" s="60"/>
      <c r="G340" s="60"/>
      <c r="H340" s="60"/>
    </row>
    <row r="341" spans="2:9" s="2" customFormat="1" ht="12">
      <c r="B341" s="12"/>
      <c r="C341" s="60"/>
      <c r="D341" s="60"/>
      <c r="E341" s="60"/>
      <c r="F341" s="60"/>
      <c r="G341" s="60"/>
      <c r="H341" s="60"/>
    </row>
    <row r="342" spans="2:9" s="2" customFormat="1" ht="12">
      <c r="B342" s="12"/>
      <c r="C342" s="33"/>
      <c r="D342" s="33"/>
      <c r="E342" s="33"/>
      <c r="F342" s="33"/>
      <c r="G342" s="33"/>
      <c r="H342" s="33"/>
    </row>
    <row r="343" spans="2:9" s="2" customFormat="1" ht="12">
      <c r="B343" s="12"/>
      <c r="C343" s="60" t="s">
        <v>16</v>
      </c>
      <c r="D343" s="60"/>
      <c r="E343" s="60"/>
      <c r="F343" s="60"/>
      <c r="G343" s="60"/>
      <c r="H343" s="60"/>
    </row>
    <row r="344" spans="2:9" s="2" customFormat="1" ht="12">
      <c r="B344" s="12"/>
      <c r="C344" s="60"/>
      <c r="D344" s="60"/>
      <c r="E344" s="60"/>
      <c r="F344" s="60"/>
      <c r="G344" s="60"/>
      <c r="H344" s="60"/>
    </row>
    <row r="345" spans="2:9" s="2" customFormat="1" ht="12">
      <c r="B345" s="12"/>
      <c r="C345" s="60" t="s">
        <v>17</v>
      </c>
      <c r="D345" s="60"/>
      <c r="E345" s="60"/>
      <c r="F345" s="60"/>
      <c r="G345" s="60"/>
      <c r="H345" s="60"/>
    </row>
    <row r="346" spans="2:9" s="2" customFormat="1" ht="12">
      <c r="B346" s="12"/>
      <c r="C346" s="60"/>
      <c r="D346" s="60"/>
      <c r="E346" s="60"/>
      <c r="F346" s="60"/>
      <c r="G346" s="60"/>
      <c r="H346" s="60"/>
    </row>
    <row r="347" spans="2:9" s="2" customFormat="1" ht="12">
      <c r="B347" s="12"/>
      <c r="C347" s="33"/>
      <c r="D347" s="33"/>
      <c r="E347" s="33"/>
      <c r="F347" s="33"/>
      <c r="G347" s="33"/>
      <c r="H347" s="33"/>
    </row>
    <row r="348" spans="2:9" s="2" customFormat="1" ht="12">
      <c r="B348" s="12"/>
      <c r="C348" s="33"/>
      <c r="D348" s="33"/>
      <c r="E348" s="33"/>
      <c r="F348" s="33"/>
      <c r="G348" s="33"/>
      <c r="H348" s="33"/>
    </row>
    <row r="349" spans="2:9" s="2" customFormat="1" ht="12">
      <c r="B349" s="76" t="s">
        <v>18</v>
      </c>
      <c r="C349" s="76"/>
      <c r="D349" s="77"/>
      <c r="G349" s="34" t="str">
        <f>D5</f>
        <v>JENNA STOELTJE STAMPS</v>
      </c>
      <c r="H349" s="34"/>
      <c r="I349" s="34"/>
    </row>
    <row r="350" spans="2:9" s="2" customFormat="1" ht="12">
      <c r="B350" s="74" t="s">
        <v>19</v>
      </c>
      <c r="C350" s="74"/>
      <c r="D350" s="74"/>
      <c r="E350" s="63"/>
      <c r="G350" s="2" t="str">
        <f>D1</f>
        <v>EMBREY PARTNERS, LTD.</v>
      </c>
    </row>
    <row r="351" spans="2:9" s="2" customFormat="1" ht="12">
      <c r="B351" s="74" t="s">
        <v>20</v>
      </c>
      <c r="C351" s="75"/>
      <c r="D351" s="75"/>
      <c r="G351" s="74" t="s">
        <v>14</v>
      </c>
      <c r="H351" s="75"/>
      <c r="I351" s="75"/>
    </row>
    <row r="353" spans="2:8" s="2" customFormat="1" ht="12">
      <c r="B353" s="12"/>
      <c r="H353" s="5"/>
    </row>
    <row r="358" spans="2:8" s="2" customFormat="1" ht="12">
      <c r="B358" s="12"/>
      <c r="H358" s="5"/>
    </row>
    <row r="359" spans="2:8" s="2" customFormat="1" ht="12">
      <c r="B359" s="12"/>
      <c r="H359" s="5"/>
    </row>
    <row r="360" spans="2:8" s="2" customFormat="1" ht="12">
      <c r="B360" s="12"/>
      <c r="H360" s="5"/>
    </row>
    <row r="361" spans="2:8" s="2" customFormat="1" ht="12">
      <c r="B361" s="12"/>
      <c r="H361" s="5"/>
    </row>
    <row r="362" spans="2:8" s="2" customFormat="1" ht="12">
      <c r="B362" s="12"/>
      <c r="H362" s="5"/>
    </row>
    <row r="363" spans="2:8" s="2" customFormat="1" ht="12"/>
    <row r="364" spans="2:8" s="2" customFormat="1" ht="12"/>
    <row r="365" spans="2:8" s="2" customFormat="1" ht="12"/>
    <row r="366" spans="2:8" s="2" customFormat="1" ht="12"/>
    <row r="367" spans="2:8" s="2" customFormat="1" ht="12"/>
    <row r="368" spans="2:8" s="2" customFormat="1" ht="12"/>
    <row r="370" spans="2:2">
      <c r="B370" s="47" t="s">
        <v>190</v>
      </c>
    </row>
  </sheetData>
  <mergeCells count="64">
    <mergeCell ref="I56:I57"/>
    <mergeCell ref="A77:G78"/>
    <mergeCell ref="A94:G95"/>
    <mergeCell ref="I139:I140"/>
    <mergeCell ref="I94:I95"/>
    <mergeCell ref="A109:G110"/>
    <mergeCell ref="I109:I110"/>
    <mergeCell ref="A129:G130"/>
    <mergeCell ref="I129:I130"/>
    <mergeCell ref="A139:G140"/>
    <mergeCell ref="G107:H107"/>
    <mergeCell ref="B351:D351"/>
    <mergeCell ref="G351:I351"/>
    <mergeCell ref="C343:H344"/>
    <mergeCell ref="C345:H346"/>
    <mergeCell ref="B349:D349"/>
    <mergeCell ref="B350:E350"/>
    <mergeCell ref="H300:H301"/>
    <mergeCell ref="B297:G298"/>
    <mergeCell ref="H297:H298"/>
    <mergeCell ref="A279:F280"/>
    <mergeCell ref="B300:G301"/>
    <mergeCell ref="C339:H341"/>
    <mergeCell ref="H311:H312"/>
    <mergeCell ref="B303:H309"/>
    <mergeCell ref="C327:H328"/>
    <mergeCell ref="B311:C312"/>
    <mergeCell ref="C336:H337"/>
    <mergeCell ref="C333:H334"/>
    <mergeCell ref="C324:H325"/>
    <mergeCell ref="C330:H331"/>
    <mergeCell ref="G319:H319"/>
    <mergeCell ref="I279:I280"/>
    <mergeCell ref="I176:I177"/>
    <mergeCell ref="A119:G120"/>
    <mergeCell ref="I119:I120"/>
    <mergeCell ref="A150:F151"/>
    <mergeCell ref="A176:G177"/>
    <mergeCell ref="A247:G248"/>
    <mergeCell ref="A228:G229"/>
    <mergeCell ref="A203:G204"/>
    <mergeCell ref="I203:I204"/>
    <mergeCell ref="I150:I151"/>
    <mergeCell ref="I228:I229"/>
    <mergeCell ref="I247:I248"/>
    <mergeCell ref="G160:H160"/>
    <mergeCell ref="A162:F163"/>
    <mergeCell ref="A268:G269"/>
    <mergeCell ref="F8:G12"/>
    <mergeCell ref="I268:I269"/>
    <mergeCell ref="I162:I163"/>
    <mergeCell ref="G213:H213"/>
    <mergeCell ref="A215:G216"/>
    <mergeCell ref="I215:I216"/>
    <mergeCell ref="G266:H266"/>
    <mergeCell ref="I14:I15"/>
    <mergeCell ref="A14:C15"/>
    <mergeCell ref="I28:I29"/>
    <mergeCell ref="I40:I41"/>
    <mergeCell ref="I77:I78"/>
    <mergeCell ref="A28:E29"/>
    <mergeCell ref="A40:H41"/>
    <mergeCell ref="G54:H54"/>
    <mergeCell ref="A56:H57"/>
  </mergeCells>
  <phoneticPr fontId="2"/>
  <printOptions horizontalCentered="1" verticalCentered="1"/>
  <pageMargins left="0.25" right="0.25" top="1.5" bottom="0.5" header="0" footer="0.15"/>
  <pageSetup orientation="portrait" horizontalDpi="4294967292" verticalDpi="4294967292" r:id="rId1"/>
  <headerFooter alignWithMargins="0">
    <oddHeader>&amp;C&amp;K000000&amp;G</oddHeader>
    <oddFooter>&amp;L1351 Regal Row
Dallas, Texas 75247&amp;RFON 214-630-2125
FAX 214-630-2314</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zoomScaleNormal="100" workbookViewId="0"/>
  </sheetViews>
  <sheetFormatPr defaultColWidth="11" defaultRowHeight="12.75"/>
  <sheetData/>
  <phoneticPr fontId="4" type="noConversion"/>
  <pageMargins left="0.75" right="0.75" top="1" bottom="1" header="0.5" footer="0.5"/>
  <pageSetup orientation="portrait" horizontalDpi="4294967292" verticalDpi="4294967292"/>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Normal="100" workbookViewId="0"/>
  </sheetViews>
  <sheetFormatPr defaultColWidth="11" defaultRowHeight="12.75"/>
  <sheetData/>
  <phoneticPr fontId="4" type="noConversion"/>
  <pageMargins left="0.75" right="0.75" top="1" bottom="1" header="0.5" footer="0.5"/>
  <pageSetup orientation="portrait" horizontalDpi="4294967292" verticalDpi="429496729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DEC5CDEA39D0E4EA6B3B64E7D8D5559" ma:contentTypeVersion="15" ma:contentTypeDescription="Create a new document." ma:contentTypeScope="" ma:versionID="7f85fbfe42f8c8b60e461242c01c6097">
  <xsd:schema xmlns:xsd="http://www.w3.org/2001/XMLSchema" xmlns:xs="http://www.w3.org/2001/XMLSchema" xmlns:p="http://schemas.microsoft.com/office/2006/metadata/properties" xmlns:ns3="9f0b7563-e2b5-487d-9c3e-48a2df070469" xmlns:ns4="ea6fd721-8278-4f89-909b-e3ea45a6c17c" targetNamespace="http://schemas.microsoft.com/office/2006/metadata/properties" ma:root="true" ma:fieldsID="7729b4df2b22c898ab5d32c8d63d2c68" ns3:_="" ns4:_="">
    <xsd:import namespace="9f0b7563-e2b5-487d-9c3e-48a2df070469"/>
    <xsd:import namespace="ea6fd721-8278-4f89-909b-e3ea45a6c17c"/>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LengthInSecond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0b7563-e2b5-487d-9c3e-48a2df070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_activity" ma:index="22" nillable="true" ma:displayName="_activity" ma:hidden="true" ma:internalName="_activity">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a6fd721-8278-4f89-909b-e3ea45a6c17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9f0b7563-e2b5-487d-9c3e-48a2df070469" xsi:nil="true"/>
  </documentManagement>
</p:properties>
</file>

<file path=customXml/itemProps1.xml><?xml version="1.0" encoding="utf-8"?>
<ds:datastoreItem xmlns:ds="http://schemas.openxmlformats.org/officeDocument/2006/customXml" ds:itemID="{BD1FDD65-3909-4CE5-AEBE-CB6AE82D18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f0b7563-e2b5-487d-9c3e-48a2df070469"/>
    <ds:schemaRef ds:uri="ea6fd721-8278-4f89-909b-e3ea45a6c17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607C45C-8EDD-41AE-A7E9-289C21D5AD09}">
  <ds:schemaRefs>
    <ds:schemaRef ds:uri="http://schemas.microsoft.com/sharepoint/v3/contenttype/forms"/>
  </ds:schemaRefs>
</ds:datastoreItem>
</file>

<file path=customXml/itemProps3.xml><?xml version="1.0" encoding="utf-8"?>
<ds:datastoreItem xmlns:ds="http://schemas.openxmlformats.org/officeDocument/2006/customXml" ds:itemID="{65D1E0A0-E515-4352-B2F1-767E87EA5A3A}">
  <ds:schemaRefs>
    <ds:schemaRef ds:uri="ea6fd721-8278-4f89-909b-e3ea45a6c17c"/>
    <ds:schemaRef ds:uri="http://www.w3.org/XML/1998/namespace"/>
    <ds:schemaRef ds:uri="http://purl.org/dc/elements/1.1/"/>
    <ds:schemaRef ds:uri="9f0b7563-e2b5-487d-9c3e-48a2df070469"/>
    <ds:schemaRef ds:uri="http://purl.org/dc/dcmitype/"/>
    <ds:schemaRef ds:uri="http://schemas.microsoft.com/office/infopath/2007/PartnerControls"/>
    <ds:schemaRef ds:uri="http://schemas.microsoft.com/office/2006/documentManagement/types"/>
    <ds:schemaRef ds:uri="http://schemas.openxmlformats.org/package/2006/metadata/core-properties"/>
    <ds:schemaRef ds:uri="http://schemas.microsoft.com/office/2006/metadata/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Alissa Wyatt</dc:creator>
  <cp:lastModifiedBy>Marcia Webster</cp:lastModifiedBy>
  <cp:lastPrinted>2023-10-31T16:51:11Z</cp:lastPrinted>
  <dcterms:created xsi:type="dcterms:W3CDTF">2008-03-19T14:06:24Z</dcterms:created>
  <dcterms:modified xsi:type="dcterms:W3CDTF">2023-12-21T21:09:53Z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0x0101005DEC5CDEA39D0E4EA6B3B64E7D8D5559</vt:lpwstr>
  </property>
</Properties>
</file>